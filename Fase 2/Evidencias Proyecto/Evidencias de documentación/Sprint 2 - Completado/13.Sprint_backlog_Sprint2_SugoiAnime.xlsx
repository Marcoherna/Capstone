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2" sheetId="1" r:id="rId4"/>
    <sheet state="visible" name="Instructivo" sheetId="2" r:id="rId5"/>
  </sheets>
  <definedNames/>
  <calcPr/>
  <extLst>
    <ext uri="GoogleSheetsCustomDataVersion2">
      <go:sheetsCustomData xmlns:go="http://customooxmlschemas.google.com/" r:id="rId6" roundtripDataChecksum="43XfgqClyDQMuSTazFzk3yQ+7jiTILZQ8qxXSRfbHYo="/>
    </ext>
  </extLst>
</workbook>
</file>

<file path=xl/sharedStrings.xml><?xml version="1.0" encoding="utf-8"?>
<sst xmlns="http://schemas.openxmlformats.org/spreadsheetml/2006/main" count="167" uniqueCount="84">
  <si>
    <t>Lista de tareas de la iteración (Product Backlog): Instructivo</t>
  </si>
  <si>
    <t>Elaborado por: pmoinformatica.com</t>
  </si>
  <si>
    <t>Sprint Backlog</t>
  </si>
  <si>
    <t>Columna</t>
  </si>
  <si>
    <t>Instrucciones</t>
  </si>
  <si>
    <t>Día 07/09/2026</t>
  </si>
  <si>
    <t>Día 08/09/2026</t>
  </si>
  <si>
    <t>Día 09/09/2026</t>
  </si>
  <si>
    <t>Día 10/09/26</t>
  </si>
  <si>
    <t>Día 11/09/26</t>
  </si>
  <si>
    <t>Día 12/09/26</t>
  </si>
  <si>
    <t>Día 13/09/26</t>
  </si>
  <si>
    <t>Día 14/09/26</t>
  </si>
  <si>
    <t>Día 15/09/26</t>
  </si>
  <si>
    <t>Día 16/09/26</t>
  </si>
  <si>
    <t>Día 17/09/26</t>
  </si>
  <si>
    <t>Día 18/09/26</t>
  </si>
  <si>
    <t>Día 19/09/26</t>
  </si>
  <si>
    <t>Código que hace referencia al elemento de la pila de producto (Product Backlog) al cual la tarea de la iteración hace referencia.</t>
  </si>
  <si>
    <t>Día 20/09/26</t>
  </si>
  <si>
    <t>Total</t>
  </si>
  <si>
    <t>Identificador (ID) de item de product backlog</t>
  </si>
  <si>
    <t>Enunciado del item de Product Backlog</t>
  </si>
  <si>
    <t>Tarea</t>
  </si>
  <si>
    <t>Dueño / Voluntario</t>
  </si>
  <si>
    <t>Estatus</t>
  </si>
  <si>
    <t>Horas estimadas totales</t>
  </si>
  <si>
    <t>Enunciado o nombre del elemento de pila de producto (Product Backlog). En la mayoría de los casos, el nombre asignado al elemento de product backlog es el mismo de la historia de usuario.</t>
  </si>
  <si>
    <t>Cons.</t>
  </si>
  <si>
    <t>Rest.</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</si>
  <si>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</si>
  <si>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EP01-HU01.1</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</si>
  <si>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</si>
  <si>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Como Frontend, necesito un endpoint REST que devuelva una lista de animes (con datos iniciales poblados) soportando paginación para poder renderizar la grilla principal.</t>
  </si>
  <si>
    <t>PSA-276 Poblar datos iniciales de animes para el catálogo</t>
  </si>
  <si>
    <t>Marco Hernandez</t>
  </si>
  <si>
    <t>0. Planificada</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</si>
  <si>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</si>
  <si>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</si>
  <si>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</si>
  <si>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</si>
  <si>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</si>
  <si>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</si>
  <si>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</si>
  <si>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PSA-277 Diseñar el contrato REST del catálogo paginado</t>
  </si>
  <si>
    <t>PSA-278 Implementar la lógica de consulta paginada de animes</t>
  </si>
  <si>
    <t>PSA-279 Agregar validaciones y manejo de errores de paginación</t>
  </si>
  <si>
    <t>PSA-280 Crear pruebas del endpoint paginado de catálogo</t>
  </si>
  <si>
    <t>Elizabeth Alegria</t>
  </si>
  <si>
    <t>EP01-HU01.2</t>
  </si>
  <si>
    <t>Como Usuario, quiero visualizar una grilla atractiva de tarjetas de anime en la página principal y poder navegar entre páginas de resultados.</t>
  </si>
  <si>
    <t>PSA-271 Agregar estados de carga y vacío en el catálogo</t>
  </si>
  <si>
    <t>Natalia Benítez</t>
  </si>
  <si>
    <t>PSA-272 Implementar la paginación de resultados</t>
  </si>
  <si>
    <t>PSA-273 Diseñar la grilla responsive de tarjetas de anime</t>
  </si>
  <si>
    <t>PSA-274 Conectar la grilla con la fuente de datos paginada</t>
  </si>
  <si>
    <t>PSA-275 Construir el componente de tarjeta de anime</t>
  </si>
  <si>
    <t>EP01-HU02</t>
  </si>
  <si>
    <t>Como usuario, quiero buscar animes por título y filtrar por género utilizando consultas optimizadas.</t>
  </si>
  <si>
    <t>PSA-43 Exponer parámetros de búsqueda y filtrado en el listado del catálogo</t>
  </si>
  <si>
    <t>PSA-44 Implementar filtro de animes por género en la API</t>
  </si>
  <si>
    <t>PSA-45 Combinar búsqueda por título y filtro por género en una sola consulta</t>
  </si>
  <si>
    <t>PSA-46 Agregar controles de búsqueda y filtro en la interfaz del catálogo</t>
  </si>
  <si>
    <t>PSA-47 Validar y probar la búsqueda y filtros del catálogo</t>
  </si>
  <si>
    <t>EP01-HU03</t>
  </si>
  <si>
    <t>Como usuario, quiero ver el detalle de un anime (sinopsis, géneros, lista de episodios) al hacer clic en él.</t>
  </si>
  <si>
    <t>PSA-50 Obtener los datos de detalle desde la API</t>
  </si>
  <si>
    <t>PSA-51 Mostrar sinopsis y géneros del anime</t>
  </si>
  <si>
    <t>PSA-52 Listar los episodios del anime en el detalle</t>
  </si>
  <si>
    <t>PSA-53 Crear la vista de detalle de anime</t>
  </si>
  <si>
    <t>0.5</t>
  </si>
  <si>
    <t>PSA-54 Configurar la navegación desde el catálogo al detalle</t>
  </si>
  <si>
    <t>PSA-55 Gestionar estados de carga y error en el detalle</t>
  </si>
  <si>
    <t>PSA-56 Validar el detalle de anime con pruebas</t>
  </si>
  <si>
    <t>Marco H. / Natalia B.</t>
  </si>
  <si>
    <t>EP00-HT04</t>
  </si>
  <si>
    <t>Como Scrum Master, quiero documentar las ceremonias de los diferentes Sprints ciclo para la trazabilidad académica.</t>
  </si>
  <si>
    <t>PSA-176 Documentación de Ceremonias y artefactos Scrum (S2)</t>
  </si>
  <si>
    <t>Natalia B. / Elizabeth A.</t>
  </si>
  <si>
    <t>EP00-HT05</t>
  </si>
  <si>
    <t>Como Especialista de Infraestructura / DevOps, quiero actualizar las reglas de enrutamiento y las políticas de CORS en el Spring Cloud Gateway, así como dar soporte al entorno local de contenedores para permitir que la aplicación Frontend (React) consuma exitosamente los nuevos endpoints del microservicio de Catálogo sin bloqueos de red.</t>
  </si>
  <si>
    <t>PSA-282 Actualizar configuración de rutas en API Gateway (application.yml) para los nuevos endpoints de catálogo.</t>
  </si>
  <si>
    <t>PSA-283 Revisar y ajustar políticas de CORS en el Gateway ante conexiones fallidas de React.</t>
  </si>
  <si>
    <t>PSA-284 Dar soporte a contenedores Docker locales del equipo (validar ejecución de scripts SQL).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</si>
</sst>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1">
    <font>
      <sz val="11.0"/>
      <color theme="1"/>
      <name val="Calibri"/>
      <scheme val="minor"/>
    </font>
    <font>
      <sz val="11.0"/>
      <color theme="1"/>
      <name val="Calibri"/>
    </font>
    <font>
      <b/>
      <sz val="22.0"/>
      <color theme="1"/>
      <name val="Calibri"/>
    </font>
    <font>
      <b/>
      <sz val="16.0"/>
      <color rgb="FF1F497D"/>
      <name val="Calibri"/>
    </font>
    <font>
      <sz val="11.0"/>
      <color theme="0"/>
      <name val="Calibri"/>
    </font>
    <font>
      <sz val="11.0"/>
      <color rgb="FFFFFFFF"/>
      <name val="Calibri"/>
    </font>
    <font/>
    <font>
      <sz val="11.0"/>
      <color rgb="FF000000"/>
      <name val="Calibri"/>
    </font>
    <font>
      <u/>
      <sz val="11.0"/>
      <color theme="1"/>
      <name val="Calibri"/>
    </font>
    <font>
      <b/>
      <sz val="11.0"/>
      <color theme="1"/>
      <name val="Calibri"/>
    </font>
    <font>
      <u/>
      <sz val="11.0"/>
      <color theme="1"/>
      <name val="Calibri"/>
    </font>
  </fonts>
  <fills count="9">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FF0000"/>
        <bgColor rgb="FFFF0000"/>
      </patternFill>
    </fill>
    <fill>
      <patternFill patternType="solid">
        <fgColor rgb="FFEE0000"/>
        <bgColor rgb="FFEE0000"/>
      </patternFill>
    </fill>
    <fill>
      <patternFill patternType="solid">
        <fgColor rgb="FFB8CCE4"/>
        <bgColor rgb="FFB8CCE4"/>
      </patternFill>
    </fill>
    <fill>
      <patternFill patternType="solid">
        <fgColor rgb="FFFFFFFF"/>
        <bgColor rgb="FFFFFFFF"/>
      </patternFill>
    </fill>
  </fills>
  <borders count="15">
    <border/>
    <border>
      <left/>
      <right/>
      <top/>
      <bottom/>
    </border>
    <border>
      <left style="thin">
        <color rgb="FF000000"/>
      </left>
      <right style="thin">
        <color rgb="FF000000"/>
      </right>
      <top style="thin">
        <color rgb="FF000000"/>
      </top>
      <bottom style="thin">
        <color rgb="FF000000"/>
      </bottom>
    </border>
    <border>
      <left/>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left/>
      <top/>
      <bottom/>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right/>
      <top style="thin">
        <color rgb="FF000000"/>
      </top>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2" fillId="2" fontId="1" numFmtId="0" xfId="0" applyAlignment="1" applyBorder="1" applyFill="1" applyFont="1">
      <alignment horizontal="left" shrinkToFit="0" vertical="top" wrapText="1"/>
    </xf>
    <xf borderId="1" fillId="2" fontId="3" numFmtId="0" xfId="0" applyBorder="1" applyFill="1" applyFont="1"/>
    <xf borderId="2" fillId="3" fontId="4" numFmtId="0" xfId="0" applyBorder="1" applyFill="1" applyFont="1"/>
    <xf borderId="3" fillId="2" fontId="1" numFmtId="0" xfId="0" applyBorder="1" applyFill="1" applyFont="1"/>
    <xf borderId="4" fillId="3" fontId="5" numFmtId="0" xfId="0" applyAlignment="1" applyBorder="1" applyFill="1" applyFont="1">
      <alignment horizontal="center" readingOrder="0" shrinkToFit="0" textRotation="90" vertical="center" wrapText="1"/>
    </xf>
    <xf borderId="5" fillId="0" fontId="6" numFmtId="0" xfId="0" applyBorder="1" applyFont="1"/>
    <xf borderId="6" fillId="3" fontId="4" numFmtId="0" xfId="0" applyAlignment="1" applyBorder="1" applyFill="1" applyFont="1">
      <alignment horizontal="center" shrinkToFit="0" textRotation="90" vertical="center" wrapText="1"/>
    </xf>
    <xf borderId="4" fillId="3" fontId="4" numFmtId="0" xfId="0" applyAlignment="1" applyBorder="1" applyFill="1" applyFont="1">
      <alignment horizontal="center" shrinkToFit="0" vertical="center" wrapText="1"/>
    </xf>
    <xf borderId="7"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8" fillId="3" fontId="4" numFmtId="0" xfId="0" applyAlignment="1" applyBorder="1" applyFill="1" applyFont="1">
      <alignment horizontal="center" shrinkToFit="0" vertical="center" wrapText="1"/>
    </xf>
    <xf borderId="9" fillId="2" fontId="1" numFmtId="0" xfId="0" applyBorder="1" applyFill="1" applyFont="1"/>
    <xf borderId="2" fillId="0" fontId="7" numFmtId="0" xfId="0" applyAlignment="1" applyBorder="1" applyFont="1">
      <alignment horizontal="left" readingOrder="0" shrinkToFit="0" wrapText="1"/>
    </xf>
    <xf borderId="2" fillId="0" fontId="7" numFmtId="0" xfId="0" applyAlignment="1" applyBorder="1" applyFont="1">
      <alignment readingOrder="0" shrinkToFit="0" vertical="center" wrapText="1"/>
    </xf>
    <xf borderId="2" fillId="0" fontId="1" numFmtId="0" xfId="0" applyAlignment="1" applyBorder="1" applyFont="1">
      <alignment horizontal="center" readingOrder="0" shrinkToFit="0" vertical="center" wrapText="1"/>
    </xf>
    <xf borderId="2" fillId="2" fontId="1" numFmtId="0" xfId="0" applyAlignment="1" applyBorder="1" applyFill="1" applyFont="1">
      <alignment horizontal="left" readingOrder="0" shrinkToFit="0" vertical="top" wrapText="1"/>
    </xf>
    <xf borderId="2" fillId="2" fontId="1" numFmtId="0" xfId="0" applyAlignment="1" applyBorder="1" applyFill="1" applyFont="1">
      <alignment horizontal="right" readingOrder="0" shrinkToFit="0" vertical="top" wrapText="1"/>
    </xf>
    <xf borderId="2" fillId="4" fontId="1" numFmtId="0" xfId="0" applyAlignment="1" applyBorder="1" applyFill="1" applyFont="1">
      <alignment horizontal="right" shrinkToFit="0" vertical="top" wrapText="1"/>
    </xf>
    <xf borderId="2" fillId="2"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xf borderId="2" fillId="6" fontId="1" numFmtId="0" xfId="0" applyAlignment="1" applyBorder="1" applyFill="1" applyFont="1">
      <alignment horizontal="right" shrinkToFit="0" vertical="top" wrapText="1"/>
    </xf>
    <xf borderId="2" fillId="0" fontId="1" numFmtId="0" xfId="0" applyAlignment="1" applyBorder="1" applyFont="1">
      <alignment horizontal="right" shrinkToFit="0" vertical="top" wrapText="1"/>
    </xf>
    <xf borderId="2" fillId="7" fontId="1" numFmtId="0" xfId="0" applyAlignment="1" applyBorder="1" applyFill="1" applyFont="1">
      <alignment horizontal="right" shrinkToFit="0" vertical="top" wrapText="1"/>
    </xf>
    <xf borderId="2" fillId="2" fontId="1" numFmtId="0" xfId="0" applyAlignment="1" applyBorder="1" applyFill="1" applyFont="1">
      <alignment horizontal="left" shrinkToFit="0" vertical="center" wrapText="1"/>
    </xf>
    <xf borderId="2" fillId="2" fontId="8" numFmtId="0" xfId="0" applyAlignment="1" applyBorder="1" applyFill="1" applyFont="1">
      <alignment horizontal="right" readingOrder="0" shrinkToFit="0" vertical="top" wrapText="1"/>
    </xf>
    <xf borderId="10" fillId="2" fontId="1" numFmtId="0" xfId="0" applyAlignment="1" applyBorder="1" applyFill="1" applyFont="1">
      <alignment horizontal="left" shrinkToFit="0" vertical="top" wrapText="1"/>
    </xf>
    <xf borderId="2" fillId="3" fontId="1" numFmtId="0" xfId="0" applyBorder="1" applyFill="1" applyFont="1"/>
    <xf borderId="2" fillId="3" fontId="1" numFmtId="0" xfId="0" applyAlignment="1" applyBorder="1" applyFill="1" applyFont="1">
      <alignment horizontal="left" shrinkToFit="0" vertical="top" wrapText="1"/>
    </xf>
    <xf borderId="2" fillId="0" fontId="7" numFmtId="0" xfId="0" applyBorder="1" applyFont="1"/>
    <xf borderId="2" fillId="0" fontId="1" numFmtId="0" xfId="0" applyBorder="1" applyFont="1"/>
    <xf borderId="11" fillId="2" fontId="1" numFmtId="0" xfId="0" applyAlignment="1" applyBorder="1" applyFill="1" applyFont="1">
      <alignment horizontal="left" readingOrder="0" shrinkToFit="0" vertical="top" wrapText="1"/>
    </xf>
    <xf borderId="2" fillId="0" fontId="1" numFmtId="0" xfId="0" applyAlignment="1" applyBorder="1" applyFont="1">
      <alignment horizontal="right" readingOrder="0" shrinkToFit="0" vertical="top" wrapText="1"/>
    </xf>
    <xf borderId="11" fillId="2" fontId="1" numFmtId="0" xfId="0" applyAlignment="1" applyBorder="1" applyFill="1" applyFont="1">
      <alignment horizontal="left" shrinkToFit="0" vertical="top" wrapText="1"/>
    </xf>
    <xf borderId="11" fillId="3" fontId="1" numFmtId="0" xfId="0" applyAlignment="1" applyBorder="1" applyFill="1" applyFont="1">
      <alignment horizontal="left" shrinkToFit="0" vertical="top" wrapText="1"/>
    </xf>
    <xf borderId="0" fillId="0" fontId="7" numFmtId="0" xfId="0" applyAlignment="1" applyFont="1">
      <alignment readingOrder="0"/>
    </xf>
    <xf borderId="0" fillId="0" fontId="7" numFmtId="0" xfId="0" applyAlignment="1" applyFont="1">
      <alignment readingOrder="0" shrinkToFit="0" vertical="center" wrapText="1"/>
    </xf>
    <xf borderId="0" fillId="0" fontId="7" numFmtId="0" xfId="0" applyAlignment="1" applyFont="1">
      <alignment horizontal="left" readingOrder="0" shrinkToFit="0" wrapText="1"/>
    </xf>
    <xf borderId="12" fillId="0" fontId="1" numFmtId="0" xfId="0" applyBorder="1" applyFont="1"/>
    <xf borderId="2" fillId="3" fontId="7" numFmtId="0" xfId="0" applyAlignment="1" applyBorder="1" applyFill="1" applyFont="1">
      <alignment horizontal="center" vertical="center"/>
    </xf>
    <xf borderId="12" fillId="0" fontId="7" numFmtId="0" xfId="0" applyAlignment="1" applyBorder="1" applyFont="1">
      <alignment horizontal="center" vertical="center"/>
    </xf>
    <xf borderId="13" fillId="0" fontId="7" numFmtId="0" xfId="0" applyAlignment="1" applyBorder="1" applyFont="1">
      <alignment horizontal="center" vertical="center"/>
    </xf>
    <xf borderId="8" fillId="3" fontId="1" numFmtId="0" xfId="0" applyAlignment="1" applyBorder="1" applyFill="1" applyFont="1">
      <alignment horizontal="left" shrinkToFit="0" vertical="top" wrapText="1"/>
    </xf>
    <xf borderId="2" fillId="0" fontId="7" numFmtId="0" xfId="0" applyAlignment="1" applyBorder="1" applyFont="1">
      <alignment horizontal="center" vertical="center"/>
    </xf>
    <xf borderId="2" fillId="0" fontId="1" numFmtId="0" xfId="0" applyAlignment="1" applyBorder="1" applyFont="1">
      <alignment horizontal="center" shrinkToFit="0" vertical="center" wrapText="1"/>
    </xf>
    <xf borderId="14" fillId="8" fontId="1" numFmtId="0" xfId="0" applyAlignment="1" applyBorder="1" applyFill="1" applyFont="1">
      <alignment horizontal="left" shrinkToFit="0" vertical="top" wrapText="1"/>
    </xf>
    <xf borderId="14" fillId="8" fontId="1" numFmtId="0" xfId="0" applyAlignment="1" applyBorder="1" applyFill="1" applyFont="1">
      <alignment horizontal="right" shrinkToFit="0" vertical="top" wrapText="1"/>
    </xf>
    <xf borderId="1" fillId="8" fontId="1" numFmtId="0" xfId="0" applyAlignment="1" applyBorder="1" applyFill="1" applyFont="1">
      <alignment horizontal="left" shrinkToFit="0" vertical="top" wrapText="1"/>
    </xf>
    <xf borderId="1" fillId="8" fontId="1" numFmtId="0" xfId="0" applyAlignment="1" applyBorder="1" applyFill="1" applyFont="1">
      <alignment horizontal="right" shrinkToFit="0" vertical="top" wrapText="1"/>
    </xf>
    <xf borderId="0" fillId="0" fontId="9" numFmtId="0" xfId="0" applyAlignment="1" applyFont="1">
      <alignment horizontal="center"/>
    </xf>
    <xf borderId="1" fillId="8" fontId="10" numFmtId="0" xfId="0" applyAlignment="1" applyBorder="1" applyFill="1" applyFont="1">
      <alignment horizontal="left" shrinkToFit="0" vertical="top" wrapText="1"/>
    </xf>
    <xf borderId="0" fillId="0" fontId="1" numFmtId="164" xfId="0" applyAlignment="1" applyFont="1" applyNumberFormat="1">
      <alignment horizontal="right"/>
    </xf>
    <xf borderId="0" fillId="0" fontId="1" numFmtId="0" xfId="0" applyAlignment="1" applyFont="1">
      <alignment horizontal="right"/>
    </xf>
    <xf borderId="0" fillId="0" fontId="1" numFmtId="0" xfId="0" applyFont="1"/>
    <xf borderId="0" fillId="0" fontId="1" numFmtId="49" xfId="0" applyAlignment="1" applyFont="1" applyNumberFormat="1">
      <alignment horizontal="right"/>
    </xf>
    <xf borderId="0" fillId="0" fontId="1" numFmtId="164" xfId="0" applyFont="1" applyNumberFormat="1"/>
    <xf borderId="0" fillId="0" fontId="1" numFmtId="0" xfId="0" applyAlignment="1" applyFont="1">
      <alignment horizontal="left"/>
    </xf>
    <xf borderId="1" fillId="2" fontId="1" numFmtId="0" xfId="0" applyAlignment="1" applyBorder="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23.14"/>
    <col customWidth="1" min="6" max="6" width="23.29"/>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s>
  <sheetData>
    <row r="1">
      <c r="A1" s="1"/>
      <c r="B1" s="2"/>
      <c r="C1" s="1"/>
      <c r="D1" s="1"/>
      <c r="E1" s="1"/>
      <c r="F1" s="3"/>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c r="A2" s="1"/>
      <c r="B2" s="2" t="s">
        <v>2</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ht="1.5" customHeight="1">
      <c r="A3" s="1"/>
      <c r="B3" s="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ht="54.0" customHeight="1">
      <c r="A4" s="1"/>
      <c r="B4" s="1"/>
      <c r="C4" s="1"/>
      <c r="D4" s="6"/>
      <c r="E4" s="1"/>
      <c r="F4" s="1"/>
      <c r="G4" s="1"/>
      <c r="H4" s="7" t="s">
        <v>5</v>
      </c>
      <c r="I4" s="8"/>
      <c r="J4" s="9"/>
      <c r="K4" s="7" t="s">
        <v>6</v>
      </c>
      <c r="L4" s="8"/>
      <c r="M4" s="9"/>
      <c r="N4" s="7" t="s">
        <v>7</v>
      </c>
      <c r="O4" s="8"/>
      <c r="P4" s="9"/>
      <c r="Q4" s="7" t="s">
        <v>8</v>
      </c>
      <c r="R4" s="8"/>
      <c r="S4" s="9"/>
      <c r="T4" s="7" t="s">
        <v>9</v>
      </c>
      <c r="U4" s="8"/>
      <c r="V4" s="9"/>
      <c r="W4" s="7" t="s">
        <v>10</v>
      </c>
      <c r="X4" s="8"/>
      <c r="Y4" s="9"/>
      <c r="Z4" s="7" t="s">
        <v>11</v>
      </c>
      <c r="AA4" s="8"/>
      <c r="AB4" s="9"/>
      <c r="AC4" s="7" t="s">
        <v>12</v>
      </c>
      <c r="AD4" s="8"/>
      <c r="AE4" s="9"/>
      <c r="AF4" s="7" t="s">
        <v>13</v>
      </c>
      <c r="AG4" s="8"/>
      <c r="AH4" s="9"/>
      <c r="AI4" s="7" t="s">
        <v>14</v>
      </c>
      <c r="AJ4" s="8"/>
      <c r="AK4" s="9"/>
      <c r="AL4" s="7" t="s">
        <v>15</v>
      </c>
      <c r="AM4" s="8"/>
      <c r="AN4" s="9"/>
      <c r="AO4" s="7" t="s">
        <v>16</v>
      </c>
      <c r="AP4" s="8"/>
      <c r="AQ4" s="9"/>
      <c r="AR4" s="7" t="s">
        <v>17</v>
      </c>
      <c r="AS4" s="8"/>
      <c r="AT4" s="9"/>
      <c r="AU4" s="7" t="s">
        <v>19</v>
      </c>
      <c r="AV4" s="8"/>
      <c r="AW4" s="9"/>
      <c r="AX4" s="10" t="s">
        <v>20</v>
      </c>
      <c r="AY4" s="8"/>
    </row>
    <row r="5" ht="29.25" customHeight="1">
      <c r="A5" s="1"/>
      <c r="B5" s="11" t="s">
        <v>21</v>
      </c>
      <c r="C5" s="11" t="s">
        <v>22</v>
      </c>
      <c r="D5" s="12" t="s">
        <v>23</v>
      </c>
      <c r="E5" s="12" t="s">
        <v>24</v>
      </c>
      <c r="F5" s="12" t="s">
        <v>25</v>
      </c>
      <c r="G5" s="12" t="s">
        <v>26</v>
      </c>
      <c r="H5" s="13" t="s">
        <v>28</v>
      </c>
      <c r="I5" s="13" t="s">
        <v>29</v>
      </c>
      <c r="J5" s="13"/>
      <c r="K5" s="13" t="s">
        <v>28</v>
      </c>
      <c r="L5" s="13" t="s">
        <v>29</v>
      </c>
      <c r="M5" s="13"/>
      <c r="N5" s="13" t="s">
        <v>28</v>
      </c>
      <c r="O5" s="13" t="s">
        <v>29</v>
      </c>
      <c r="P5" s="13"/>
      <c r="Q5" s="13" t="s">
        <v>28</v>
      </c>
      <c r="R5" s="13" t="s">
        <v>29</v>
      </c>
      <c r="S5" s="13"/>
      <c r="T5" s="13" t="s">
        <v>28</v>
      </c>
      <c r="U5" s="13" t="s">
        <v>29</v>
      </c>
      <c r="V5" s="13"/>
      <c r="W5" s="13" t="s">
        <v>28</v>
      </c>
      <c r="X5" s="13" t="s">
        <v>29</v>
      </c>
      <c r="Y5" s="13"/>
      <c r="Z5" s="13" t="s">
        <v>28</v>
      </c>
      <c r="AA5" s="13" t="s">
        <v>29</v>
      </c>
      <c r="AB5" s="13"/>
      <c r="AC5" s="13" t="s">
        <v>28</v>
      </c>
      <c r="AD5" s="13" t="s">
        <v>29</v>
      </c>
      <c r="AE5" s="13"/>
      <c r="AF5" s="13" t="s">
        <v>28</v>
      </c>
      <c r="AG5" s="13" t="s">
        <v>29</v>
      </c>
      <c r="AH5" s="13"/>
      <c r="AI5" s="13" t="s">
        <v>28</v>
      </c>
      <c r="AJ5" s="13" t="s">
        <v>29</v>
      </c>
      <c r="AK5" s="13"/>
      <c r="AL5" s="13" t="s">
        <v>28</v>
      </c>
      <c r="AM5" s="13" t="s">
        <v>29</v>
      </c>
      <c r="AN5" s="13"/>
      <c r="AO5" s="13" t="s">
        <v>28</v>
      </c>
      <c r="AP5" s="13" t="s">
        <v>29</v>
      </c>
      <c r="AQ5" s="13"/>
      <c r="AR5" s="13" t="s">
        <v>28</v>
      </c>
      <c r="AS5" s="13" t="s">
        <v>29</v>
      </c>
      <c r="AT5" s="13"/>
      <c r="AU5" s="13" t="s">
        <v>28</v>
      </c>
      <c r="AV5" s="13" t="s">
        <v>29</v>
      </c>
      <c r="AW5" s="13"/>
      <c r="AX5" s="13" t="s">
        <v>28</v>
      </c>
      <c r="AY5" s="13" t="s">
        <v>29</v>
      </c>
    </row>
    <row r="6">
      <c r="A6" s="14"/>
      <c r="B6" s="15" t="s">
        <v>31</v>
      </c>
      <c r="C6" s="16" t="s">
        <v>33</v>
      </c>
      <c r="D6" s="15" t="s">
        <v>34</v>
      </c>
      <c r="E6" s="15" t="s">
        <v>35</v>
      </c>
      <c r="F6" s="17" t="s">
        <v>36</v>
      </c>
      <c r="G6" s="18">
        <v>1.0</v>
      </c>
      <c r="H6" s="19">
        <v>1.0</v>
      </c>
      <c r="I6" s="19">
        <v>0.0</v>
      </c>
      <c r="J6" s="20"/>
      <c r="K6" s="21"/>
      <c r="L6" s="21"/>
      <c r="M6" s="20"/>
      <c r="N6" s="21"/>
      <c r="O6" s="21"/>
      <c r="P6" s="20"/>
      <c r="Q6" s="21"/>
      <c r="R6" s="21"/>
      <c r="S6" s="20"/>
      <c r="T6" s="21"/>
      <c r="U6" s="21"/>
      <c r="V6" s="20"/>
      <c r="W6" s="22"/>
      <c r="X6" s="22"/>
      <c r="Y6" s="20"/>
      <c r="Z6" s="23"/>
      <c r="AA6" s="23"/>
      <c r="AB6" s="20"/>
      <c r="AC6" s="21"/>
      <c r="AD6" s="21"/>
      <c r="AE6" s="20"/>
      <c r="AF6" s="24"/>
      <c r="AG6" s="24"/>
      <c r="AH6" s="20"/>
      <c r="AI6" s="24"/>
      <c r="AJ6" s="24"/>
      <c r="AK6" s="20"/>
      <c r="AM6" s="24"/>
      <c r="AN6" s="20"/>
      <c r="AO6" s="23"/>
      <c r="AP6" s="23"/>
      <c r="AQ6" s="20"/>
      <c r="AR6" s="23"/>
      <c r="AS6" s="23"/>
      <c r="AT6" s="20"/>
      <c r="AU6" s="23"/>
      <c r="AV6" s="23"/>
      <c r="AW6" s="20"/>
      <c r="AX6" s="25">
        <f t="shared" ref="AX6:AX11" si="1">H6+K6+N6+Q6+T6+W6+Z6+AC6+AF6+AI6+AL6+AO6+AR6+AU6</f>
        <v>1</v>
      </c>
      <c r="AY6" s="25">
        <f t="shared" ref="AY6:AY11" si="2">G6-AX6</f>
        <v>0</v>
      </c>
    </row>
    <row r="7">
      <c r="A7" s="14"/>
      <c r="B7" s="26"/>
      <c r="C7" s="26"/>
      <c r="D7" s="15" t="s">
        <v>44</v>
      </c>
      <c r="E7" s="15" t="s">
        <v>35</v>
      </c>
      <c r="F7" s="17" t="s">
        <v>36</v>
      </c>
      <c r="G7" s="18">
        <v>1.0</v>
      </c>
      <c r="H7" s="19">
        <v>1.0</v>
      </c>
      <c r="I7" s="19">
        <v>0.0</v>
      </c>
      <c r="J7" s="20"/>
      <c r="K7" s="21"/>
      <c r="L7" s="21"/>
      <c r="M7" s="20"/>
      <c r="N7" s="21"/>
      <c r="O7" s="21"/>
      <c r="P7" s="20"/>
      <c r="Q7" s="21"/>
      <c r="R7" s="21"/>
      <c r="S7" s="20"/>
      <c r="T7" s="21"/>
      <c r="U7" s="21"/>
      <c r="V7" s="20"/>
      <c r="W7" s="22"/>
      <c r="X7" s="22"/>
      <c r="Y7" s="20"/>
      <c r="Z7" s="23"/>
      <c r="AA7" s="23"/>
      <c r="AB7" s="20"/>
      <c r="AC7" s="21"/>
      <c r="AD7" s="21"/>
      <c r="AE7" s="20"/>
      <c r="AF7" s="24"/>
      <c r="AG7" s="24"/>
      <c r="AH7" s="20"/>
      <c r="AI7" s="24"/>
      <c r="AJ7" s="24"/>
      <c r="AK7" s="20"/>
      <c r="AL7" s="24"/>
      <c r="AM7" s="24"/>
      <c r="AN7" s="20"/>
      <c r="AO7" s="23"/>
      <c r="AP7" s="23"/>
      <c r="AQ7" s="20"/>
      <c r="AR7" s="23"/>
      <c r="AS7" s="23"/>
      <c r="AT7" s="20"/>
      <c r="AU7" s="23"/>
      <c r="AV7" s="23"/>
      <c r="AW7" s="20"/>
      <c r="AX7" s="25">
        <f t="shared" si="1"/>
        <v>1</v>
      </c>
      <c r="AY7" s="25">
        <f t="shared" si="2"/>
        <v>0</v>
      </c>
    </row>
    <row r="8">
      <c r="A8" s="14"/>
      <c r="B8" s="26"/>
      <c r="C8" s="26"/>
      <c r="D8" s="15" t="s">
        <v>45</v>
      </c>
      <c r="E8" s="15" t="s">
        <v>35</v>
      </c>
      <c r="F8" s="17" t="s">
        <v>36</v>
      </c>
      <c r="G8" s="18">
        <v>2.0</v>
      </c>
      <c r="H8" s="21"/>
      <c r="I8" s="21"/>
      <c r="J8" s="20"/>
      <c r="K8" s="19">
        <v>2.0</v>
      </c>
      <c r="L8" s="27">
        <v>0.0</v>
      </c>
      <c r="M8" s="20"/>
      <c r="N8" s="21"/>
      <c r="O8" s="21"/>
      <c r="P8" s="20"/>
      <c r="Q8" s="21"/>
      <c r="R8" s="21"/>
      <c r="S8" s="20"/>
      <c r="T8" s="21"/>
      <c r="U8" s="21"/>
      <c r="V8" s="20"/>
      <c r="W8" s="22"/>
      <c r="X8" s="22"/>
      <c r="Y8" s="20"/>
      <c r="Z8" s="23"/>
      <c r="AA8" s="23"/>
      <c r="AB8" s="20"/>
      <c r="AC8" s="21"/>
      <c r="AD8" s="21"/>
      <c r="AE8" s="20"/>
      <c r="AF8" s="24"/>
      <c r="AG8" s="24"/>
      <c r="AH8" s="20"/>
      <c r="AI8" s="24"/>
      <c r="AJ8" s="24"/>
      <c r="AK8" s="20"/>
      <c r="AL8" s="24"/>
      <c r="AM8" s="24"/>
      <c r="AN8" s="20"/>
      <c r="AO8" s="23"/>
      <c r="AP8" s="23"/>
      <c r="AQ8" s="20"/>
      <c r="AR8" s="23"/>
      <c r="AS8" s="23"/>
      <c r="AT8" s="20"/>
      <c r="AU8" s="23"/>
      <c r="AV8" s="23"/>
      <c r="AW8" s="20"/>
      <c r="AX8" s="25">
        <f t="shared" si="1"/>
        <v>2</v>
      </c>
      <c r="AY8" s="25">
        <f t="shared" si="2"/>
        <v>0</v>
      </c>
    </row>
    <row r="9">
      <c r="A9" s="14"/>
      <c r="B9" s="26"/>
      <c r="C9" s="26"/>
      <c r="D9" s="15" t="s">
        <v>46</v>
      </c>
      <c r="E9" s="15" t="s">
        <v>35</v>
      </c>
      <c r="F9" s="17" t="s">
        <v>36</v>
      </c>
      <c r="G9" s="18">
        <v>1.0</v>
      </c>
      <c r="H9" s="21"/>
      <c r="I9" s="21"/>
      <c r="J9" s="20"/>
      <c r="K9" s="21"/>
      <c r="L9" s="21"/>
      <c r="M9" s="20"/>
      <c r="N9" s="19">
        <v>1.0</v>
      </c>
      <c r="O9" s="19">
        <v>0.0</v>
      </c>
      <c r="P9" s="20"/>
      <c r="Q9" s="21"/>
      <c r="R9" s="21"/>
      <c r="S9" s="20"/>
      <c r="T9" s="21"/>
      <c r="U9" s="21"/>
      <c r="V9" s="20"/>
      <c r="W9" s="22"/>
      <c r="X9" s="22"/>
      <c r="Y9" s="20"/>
      <c r="Z9" s="23"/>
      <c r="AA9" s="23"/>
      <c r="AB9" s="20"/>
      <c r="AC9" s="21"/>
      <c r="AD9" s="21"/>
      <c r="AE9" s="20"/>
      <c r="AF9" s="24"/>
      <c r="AG9" s="24"/>
      <c r="AH9" s="20"/>
      <c r="AI9" s="24"/>
      <c r="AJ9" s="24"/>
      <c r="AK9" s="20"/>
      <c r="AL9" s="24"/>
      <c r="AM9" s="24"/>
      <c r="AN9" s="20"/>
      <c r="AO9" s="23"/>
      <c r="AP9" s="23"/>
      <c r="AQ9" s="20"/>
      <c r="AR9" s="23"/>
      <c r="AS9" s="23"/>
      <c r="AT9" s="20"/>
      <c r="AU9" s="23"/>
      <c r="AV9" s="23"/>
      <c r="AW9" s="20"/>
      <c r="AX9" s="25">
        <f t="shared" si="1"/>
        <v>1</v>
      </c>
      <c r="AY9" s="25">
        <f t="shared" si="2"/>
        <v>0</v>
      </c>
    </row>
    <row r="10">
      <c r="A10" s="14"/>
      <c r="B10" s="26"/>
      <c r="C10" s="26"/>
      <c r="D10" s="15" t="s">
        <v>47</v>
      </c>
      <c r="E10" s="15" t="s">
        <v>48</v>
      </c>
      <c r="F10" s="17" t="s">
        <v>36</v>
      </c>
      <c r="G10" s="18">
        <v>1.0</v>
      </c>
      <c r="H10" s="21"/>
      <c r="I10" s="21"/>
      <c r="J10" s="20"/>
      <c r="K10" s="21"/>
      <c r="L10" s="21"/>
      <c r="M10" s="20"/>
      <c r="N10" s="19">
        <v>1.0</v>
      </c>
      <c r="O10" s="19">
        <v>0.0</v>
      </c>
      <c r="P10" s="20"/>
      <c r="Q10" s="21"/>
      <c r="R10" s="21"/>
      <c r="S10" s="20"/>
      <c r="T10" s="21"/>
      <c r="U10" s="21"/>
      <c r="V10" s="20"/>
      <c r="W10" s="22"/>
      <c r="X10" s="22"/>
      <c r="Y10" s="20"/>
      <c r="Z10" s="23"/>
      <c r="AA10" s="23"/>
      <c r="AB10" s="20"/>
      <c r="AC10" s="21"/>
      <c r="AD10" s="21"/>
      <c r="AE10" s="20"/>
      <c r="AF10" s="24"/>
      <c r="AG10" s="24"/>
      <c r="AH10" s="20"/>
      <c r="AI10" s="24"/>
      <c r="AJ10" s="24"/>
      <c r="AK10" s="20"/>
      <c r="AL10" s="24"/>
      <c r="AM10" s="24"/>
      <c r="AN10" s="20"/>
      <c r="AO10" s="23"/>
      <c r="AP10" s="23"/>
      <c r="AQ10" s="20"/>
      <c r="AR10" s="23"/>
      <c r="AS10" s="23"/>
      <c r="AT10" s="20"/>
      <c r="AU10" s="23"/>
      <c r="AV10" s="23"/>
      <c r="AW10" s="20"/>
      <c r="AX10" s="25">
        <f t="shared" si="1"/>
        <v>1</v>
      </c>
      <c r="AY10" s="25">
        <f t="shared" si="2"/>
        <v>0</v>
      </c>
    </row>
    <row r="11">
      <c r="A11" s="1"/>
      <c r="B11" s="26"/>
      <c r="C11" s="26"/>
      <c r="D11" s="3"/>
      <c r="E11" s="28"/>
      <c r="F11" s="17" t="s">
        <v>36</v>
      </c>
      <c r="G11" s="3"/>
      <c r="H11" s="21"/>
      <c r="I11" s="21"/>
      <c r="J11" s="20"/>
      <c r="K11" s="21"/>
      <c r="L11" s="21"/>
      <c r="M11" s="20"/>
      <c r="N11" s="21"/>
      <c r="O11" s="21"/>
      <c r="P11" s="20"/>
      <c r="Q11" s="21"/>
      <c r="R11" s="21"/>
      <c r="S11" s="20"/>
      <c r="T11" s="21"/>
      <c r="U11" s="21"/>
      <c r="V11" s="20"/>
      <c r="W11" s="22"/>
      <c r="X11" s="22"/>
      <c r="Y11" s="20"/>
      <c r="Z11" s="23"/>
      <c r="AA11" s="23"/>
      <c r="AB11" s="20"/>
      <c r="AC11" s="21"/>
      <c r="AD11" s="21"/>
      <c r="AE11" s="20"/>
      <c r="AF11" s="24"/>
      <c r="AG11" s="24"/>
      <c r="AH11" s="20"/>
      <c r="AI11" s="24"/>
      <c r="AJ11" s="24"/>
      <c r="AK11" s="20"/>
      <c r="AL11" s="24"/>
      <c r="AM11" s="24"/>
      <c r="AN11" s="20"/>
      <c r="AO11" s="23"/>
      <c r="AP11" s="23"/>
      <c r="AQ11" s="20"/>
      <c r="AR11" s="23"/>
      <c r="AS11" s="23"/>
      <c r="AT11" s="20"/>
      <c r="AU11" s="23"/>
      <c r="AV11" s="23"/>
      <c r="AW11" s="20"/>
      <c r="AX11" s="25">
        <f t="shared" si="1"/>
        <v>0</v>
      </c>
      <c r="AY11" s="25">
        <f t="shared" si="2"/>
        <v>0</v>
      </c>
    </row>
    <row r="12">
      <c r="A12" s="1"/>
      <c r="B12" s="29"/>
      <c r="C12" s="29"/>
      <c r="D12" s="30"/>
      <c r="E12" s="29"/>
      <c r="F12" s="29"/>
      <c r="G12" s="30"/>
      <c r="H12" s="21"/>
      <c r="I12" s="21"/>
      <c r="J12" s="20"/>
      <c r="K12" s="21"/>
      <c r="L12" s="21"/>
      <c r="M12" s="20"/>
      <c r="N12" s="21"/>
      <c r="O12" s="21"/>
      <c r="P12" s="20"/>
      <c r="Q12" s="21"/>
      <c r="R12" s="21"/>
      <c r="S12" s="20"/>
      <c r="T12" s="21"/>
      <c r="U12" s="21"/>
      <c r="V12" s="20"/>
      <c r="W12" s="22"/>
      <c r="X12" s="22"/>
      <c r="Y12" s="20"/>
      <c r="Z12" s="23"/>
      <c r="AA12" s="23"/>
      <c r="AB12" s="20"/>
      <c r="AC12" s="21"/>
      <c r="AD12" s="21"/>
      <c r="AE12" s="20"/>
      <c r="AF12" s="24"/>
      <c r="AG12" s="24"/>
      <c r="AH12" s="20"/>
      <c r="AI12" s="24"/>
      <c r="AJ12" s="24"/>
      <c r="AK12" s="20"/>
      <c r="AL12" s="24"/>
      <c r="AM12" s="24"/>
      <c r="AN12" s="20"/>
      <c r="AO12" s="23"/>
      <c r="AP12" s="23"/>
      <c r="AQ12" s="20"/>
      <c r="AR12" s="23"/>
      <c r="AS12" s="23"/>
      <c r="AT12" s="20"/>
      <c r="AU12" s="23"/>
      <c r="AV12" s="23"/>
      <c r="AW12" s="20"/>
      <c r="AX12" s="25"/>
      <c r="AY12" s="25"/>
    </row>
    <row r="13">
      <c r="A13" s="14"/>
      <c r="B13" s="15" t="s">
        <v>49</v>
      </c>
      <c r="C13" s="16" t="s">
        <v>50</v>
      </c>
      <c r="D13" s="15" t="s">
        <v>51</v>
      </c>
      <c r="E13" s="15" t="s">
        <v>52</v>
      </c>
      <c r="F13" s="17" t="s">
        <v>36</v>
      </c>
      <c r="G13" s="18">
        <v>2.0</v>
      </c>
      <c r="H13" s="21"/>
      <c r="I13" s="21"/>
      <c r="J13" s="20"/>
      <c r="K13" s="21"/>
      <c r="L13" s="21"/>
      <c r="M13" s="20"/>
      <c r="N13" s="19">
        <v>2.0</v>
      </c>
      <c r="O13" s="19">
        <v>0.0</v>
      </c>
      <c r="P13" s="20"/>
      <c r="Q13" s="21"/>
      <c r="R13" s="21"/>
      <c r="S13" s="20"/>
      <c r="T13" s="21"/>
      <c r="U13" s="21"/>
      <c r="V13" s="20"/>
      <c r="W13" s="22"/>
      <c r="X13" s="22"/>
      <c r="Y13" s="20"/>
      <c r="Z13" s="23"/>
      <c r="AA13" s="23"/>
      <c r="AB13" s="20"/>
      <c r="AC13" s="21"/>
      <c r="AD13" s="21"/>
      <c r="AE13" s="20"/>
      <c r="AF13" s="24"/>
      <c r="AG13" s="24"/>
      <c r="AH13" s="20"/>
      <c r="AI13" s="24"/>
      <c r="AJ13" s="24"/>
      <c r="AK13" s="20"/>
      <c r="AL13" s="24"/>
      <c r="AM13" s="24"/>
      <c r="AN13" s="20"/>
      <c r="AO13" s="23"/>
      <c r="AP13" s="23"/>
      <c r="AQ13" s="20"/>
      <c r="AR13" s="23"/>
      <c r="AS13" s="23"/>
      <c r="AT13" s="20"/>
      <c r="AU13" s="23"/>
      <c r="AV13" s="23"/>
      <c r="AW13" s="20"/>
      <c r="AX13" s="25">
        <f t="shared" ref="AX13:AX18" si="3">H13+K13+N13+Q13+T13+W13+Z13+AC13+AF13+AI13+AL13+AO13+AR13+AU13</f>
        <v>2</v>
      </c>
      <c r="AY13" s="25">
        <f t="shared" ref="AY13:AY18" si="4">G13-AX13</f>
        <v>0</v>
      </c>
    </row>
    <row r="14">
      <c r="A14" s="14"/>
      <c r="B14" s="3"/>
      <c r="C14" s="31"/>
      <c r="D14" s="15" t="s">
        <v>53</v>
      </c>
      <c r="E14" s="15" t="s">
        <v>52</v>
      </c>
      <c r="F14" s="17" t="s">
        <v>36</v>
      </c>
      <c r="G14" s="18">
        <v>2.0</v>
      </c>
      <c r="H14" s="21"/>
      <c r="I14" s="21"/>
      <c r="J14" s="20"/>
      <c r="K14" s="21"/>
      <c r="L14" s="21"/>
      <c r="M14" s="20"/>
      <c r="N14" s="21"/>
      <c r="O14" s="21"/>
      <c r="P14" s="20"/>
      <c r="Q14" s="19">
        <v>2.0</v>
      </c>
      <c r="R14" s="19">
        <v>0.0</v>
      </c>
      <c r="S14" s="20"/>
      <c r="T14" s="21"/>
      <c r="U14" s="21"/>
      <c r="V14" s="20"/>
      <c r="W14" s="22"/>
      <c r="X14" s="22"/>
      <c r="Y14" s="20"/>
      <c r="Z14" s="23"/>
      <c r="AA14" s="23"/>
      <c r="AB14" s="20"/>
      <c r="AC14" s="21"/>
      <c r="AD14" s="21"/>
      <c r="AE14" s="20"/>
      <c r="AF14" s="24"/>
      <c r="AG14" s="24"/>
      <c r="AH14" s="20"/>
      <c r="AI14" s="24"/>
      <c r="AJ14" s="24"/>
      <c r="AK14" s="20"/>
      <c r="AL14" s="24"/>
      <c r="AM14" s="24"/>
      <c r="AN14" s="20"/>
      <c r="AO14" s="23"/>
      <c r="AP14" s="23"/>
      <c r="AQ14" s="20"/>
      <c r="AR14" s="23"/>
      <c r="AS14" s="23"/>
      <c r="AT14" s="20"/>
      <c r="AU14" s="23"/>
      <c r="AV14" s="23"/>
      <c r="AW14" s="20"/>
      <c r="AX14" s="25">
        <f t="shared" si="3"/>
        <v>2</v>
      </c>
      <c r="AY14" s="25">
        <f t="shared" si="4"/>
        <v>0</v>
      </c>
    </row>
    <row r="15">
      <c r="A15" s="14"/>
      <c r="B15" s="32"/>
      <c r="C15" s="32"/>
      <c r="D15" s="15" t="s">
        <v>54</v>
      </c>
      <c r="E15" s="15" t="s">
        <v>52</v>
      </c>
      <c r="F15" s="17" t="s">
        <v>36</v>
      </c>
      <c r="G15" s="33">
        <v>3.0</v>
      </c>
      <c r="H15" s="21"/>
      <c r="I15" s="21"/>
      <c r="J15" s="20"/>
      <c r="K15" s="21"/>
      <c r="L15" s="21"/>
      <c r="M15" s="20"/>
      <c r="N15" s="21"/>
      <c r="O15" s="21"/>
      <c r="P15" s="20"/>
      <c r="Q15" s="19">
        <v>1.0</v>
      </c>
      <c r="R15" s="19">
        <v>2.0</v>
      </c>
      <c r="S15" s="20"/>
      <c r="T15" s="19">
        <v>2.0</v>
      </c>
      <c r="U15" s="19">
        <v>0.0</v>
      </c>
      <c r="V15" s="20"/>
      <c r="W15" s="22"/>
      <c r="X15" s="22"/>
      <c r="Y15" s="20"/>
      <c r="Z15" s="23"/>
      <c r="AA15" s="23"/>
      <c r="AB15" s="20"/>
      <c r="AC15" s="21"/>
      <c r="AD15" s="21"/>
      <c r="AE15" s="20"/>
      <c r="AF15" s="24"/>
      <c r="AG15" s="24"/>
      <c r="AH15" s="20"/>
      <c r="AI15" s="24"/>
      <c r="AJ15" s="24"/>
      <c r="AK15" s="20"/>
      <c r="AL15" s="24"/>
      <c r="AM15" s="24"/>
      <c r="AN15" s="20"/>
      <c r="AO15" s="23"/>
      <c r="AP15" s="23"/>
      <c r="AQ15" s="20"/>
      <c r="AR15" s="23"/>
      <c r="AS15" s="23"/>
      <c r="AT15" s="20"/>
      <c r="AU15" s="23"/>
      <c r="AV15" s="23"/>
      <c r="AW15" s="20"/>
      <c r="AX15" s="25">
        <f t="shared" si="3"/>
        <v>3</v>
      </c>
      <c r="AY15" s="25">
        <f t="shared" si="4"/>
        <v>0</v>
      </c>
    </row>
    <row r="16" ht="55.5" customHeight="1">
      <c r="A16" s="14"/>
      <c r="B16" s="32"/>
      <c r="C16" s="32"/>
      <c r="D16" s="15" t="s">
        <v>55</v>
      </c>
      <c r="E16" s="15" t="s">
        <v>52</v>
      </c>
      <c r="F16" s="17" t="s">
        <v>36</v>
      </c>
      <c r="G16" s="33">
        <v>2.0</v>
      </c>
      <c r="H16" s="21"/>
      <c r="I16" s="21"/>
      <c r="J16" s="20"/>
      <c r="K16" s="21"/>
      <c r="L16" s="21"/>
      <c r="M16" s="20"/>
      <c r="N16" s="21"/>
      <c r="O16" s="21"/>
      <c r="P16" s="20"/>
      <c r="Q16" s="21"/>
      <c r="R16" s="21"/>
      <c r="S16" s="20"/>
      <c r="T16" s="21"/>
      <c r="U16" s="21"/>
      <c r="V16" s="20"/>
      <c r="W16" s="22"/>
      <c r="X16" s="22"/>
      <c r="Y16" s="20"/>
      <c r="Z16" s="23"/>
      <c r="AA16" s="23"/>
      <c r="AB16" s="20"/>
      <c r="AC16" s="19">
        <v>2.0</v>
      </c>
      <c r="AD16" s="19">
        <v>0.0</v>
      </c>
      <c r="AE16" s="20"/>
      <c r="AF16" s="24"/>
      <c r="AG16" s="24"/>
      <c r="AH16" s="20"/>
      <c r="AI16" s="24"/>
      <c r="AJ16" s="24"/>
      <c r="AK16" s="20"/>
      <c r="AL16" s="24"/>
      <c r="AM16" s="24"/>
      <c r="AN16" s="20"/>
      <c r="AO16" s="23"/>
      <c r="AP16" s="23"/>
      <c r="AQ16" s="20"/>
      <c r="AR16" s="23"/>
      <c r="AS16" s="23"/>
      <c r="AT16" s="20"/>
      <c r="AU16" s="23"/>
      <c r="AV16" s="23"/>
      <c r="AW16" s="20"/>
      <c r="AX16" s="25">
        <f t="shared" si="3"/>
        <v>2</v>
      </c>
      <c r="AY16" s="25">
        <f t="shared" si="4"/>
        <v>0</v>
      </c>
    </row>
    <row r="17">
      <c r="A17" s="14"/>
      <c r="B17" s="32"/>
      <c r="C17" s="32"/>
      <c r="D17" s="15" t="s">
        <v>56</v>
      </c>
      <c r="E17" s="15" t="s">
        <v>52</v>
      </c>
      <c r="F17" s="17" t="s">
        <v>36</v>
      </c>
      <c r="G17" s="33">
        <v>1.0</v>
      </c>
      <c r="H17" s="21"/>
      <c r="I17" s="21"/>
      <c r="J17" s="20"/>
      <c r="K17" s="21"/>
      <c r="L17" s="21"/>
      <c r="M17" s="20"/>
      <c r="N17" s="21"/>
      <c r="O17" s="21"/>
      <c r="P17" s="20"/>
      <c r="Q17" s="21"/>
      <c r="R17" s="21"/>
      <c r="S17" s="20"/>
      <c r="T17" s="21"/>
      <c r="U17" s="21"/>
      <c r="V17" s="20"/>
      <c r="W17" s="22"/>
      <c r="X17" s="22"/>
      <c r="Y17" s="20"/>
      <c r="Z17" s="23"/>
      <c r="AA17" s="23"/>
      <c r="AB17" s="20"/>
      <c r="AC17" s="21"/>
      <c r="AD17" s="21"/>
      <c r="AE17" s="20"/>
      <c r="AF17" s="34">
        <v>1.0</v>
      </c>
      <c r="AG17" s="34">
        <v>0.0</v>
      </c>
      <c r="AH17" s="20"/>
      <c r="AI17" s="24"/>
      <c r="AJ17" s="24"/>
      <c r="AK17" s="20"/>
      <c r="AL17" s="24"/>
      <c r="AM17" s="24"/>
      <c r="AN17" s="20"/>
      <c r="AO17" s="23"/>
      <c r="AP17" s="23"/>
      <c r="AQ17" s="20"/>
      <c r="AR17" s="23"/>
      <c r="AS17" s="23"/>
      <c r="AT17" s="20"/>
      <c r="AU17" s="23"/>
      <c r="AV17" s="23"/>
      <c r="AW17" s="20"/>
      <c r="AX17" s="25">
        <f t="shared" si="3"/>
        <v>1</v>
      </c>
      <c r="AY17" s="25">
        <f t="shared" si="4"/>
        <v>0</v>
      </c>
    </row>
    <row r="18">
      <c r="A18" s="1"/>
      <c r="B18" s="32"/>
      <c r="C18" s="32"/>
      <c r="D18" s="3"/>
      <c r="E18" s="3"/>
      <c r="F18" s="17" t="s">
        <v>36</v>
      </c>
      <c r="G18" s="35"/>
      <c r="H18" s="21"/>
      <c r="I18" s="21"/>
      <c r="J18" s="20"/>
      <c r="K18" s="21"/>
      <c r="L18" s="21"/>
      <c r="M18" s="20"/>
      <c r="N18" s="21"/>
      <c r="O18" s="21"/>
      <c r="P18" s="20"/>
      <c r="Q18" s="21"/>
      <c r="R18" s="21"/>
      <c r="S18" s="20"/>
      <c r="T18" s="21"/>
      <c r="U18" s="21"/>
      <c r="V18" s="20"/>
      <c r="W18" s="22"/>
      <c r="X18" s="22"/>
      <c r="Y18" s="20"/>
      <c r="Z18" s="23"/>
      <c r="AA18" s="23"/>
      <c r="AB18" s="20"/>
      <c r="AC18" s="21"/>
      <c r="AD18" s="21"/>
      <c r="AE18" s="20"/>
      <c r="AF18" s="24"/>
      <c r="AG18" s="24"/>
      <c r="AH18" s="20"/>
      <c r="AI18" s="24"/>
      <c r="AJ18" s="24"/>
      <c r="AK18" s="20"/>
      <c r="AL18" s="24"/>
      <c r="AM18" s="24"/>
      <c r="AN18" s="20"/>
      <c r="AO18" s="23"/>
      <c r="AP18" s="23"/>
      <c r="AQ18" s="20"/>
      <c r="AR18" s="23"/>
      <c r="AS18" s="23"/>
      <c r="AT18" s="20"/>
      <c r="AU18" s="23"/>
      <c r="AV18" s="23"/>
      <c r="AW18" s="20"/>
      <c r="AX18" s="25">
        <f t="shared" si="3"/>
        <v>0</v>
      </c>
      <c r="AY18" s="25">
        <f t="shared" si="4"/>
        <v>0</v>
      </c>
    </row>
    <row r="19">
      <c r="A19" s="1"/>
      <c r="B19" s="29"/>
      <c r="C19" s="29"/>
      <c r="D19" s="30"/>
      <c r="E19" s="30"/>
      <c r="F19" s="30"/>
      <c r="G19" s="36"/>
      <c r="H19" s="21"/>
      <c r="I19" s="21"/>
      <c r="J19" s="20"/>
      <c r="K19" s="21"/>
      <c r="L19" s="21"/>
      <c r="M19" s="20"/>
      <c r="N19" s="21"/>
      <c r="O19" s="21"/>
      <c r="P19" s="20"/>
      <c r="Q19" s="21"/>
      <c r="R19" s="21"/>
      <c r="S19" s="20"/>
      <c r="T19" s="21"/>
      <c r="U19" s="21"/>
      <c r="V19" s="20"/>
      <c r="W19" s="22"/>
      <c r="X19" s="22"/>
      <c r="Y19" s="20"/>
      <c r="Z19" s="23"/>
      <c r="AA19" s="23"/>
      <c r="AB19" s="20"/>
      <c r="AC19" s="21"/>
      <c r="AD19" s="21"/>
      <c r="AE19" s="20"/>
      <c r="AF19" s="24"/>
      <c r="AG19" s="24"/>
      <c r="AH19" s="20"/>
      <c r="AI19" s="24"/>
      <c r="AJ19" s="24"/>
      <c r="AK19" s="20"/>
      <c r="AL19" s="24"/>
      <c r="AM19" s="24"/>
      <c r="AN19" s="20"/>
      <c r="AO19" s="23"/>
      <c r="AP19" s="23"/>
      <c r="AQ19" s="20"/>
      <c r="AR19" s="23"/>
      <c r="AS19" s="23"/>
      <c r="AT19" s="20"/>
      <c r="AU19" s="23"/>
      <c r="AV19" s="23"/>
      <c r="AW19" s="20"/>
      <c r="AX19" s="25"/>
      <c r="AY19" s="25"/>
    </row>
    <row r="20">
      <c r="A20" s="1"/>
      <c r="B20" s="37" t="s">
        <v>57</v>
      </c>
      <c r="C20" s="38" t="s">
        <v>58</v>
      </c>
      <c r="D20" s="39" t="s">
        <v>59</v>
      </c>
      <c r="E20" s="39" t="s">
        <v>35</v>
      </c>
      <c r="F20" s="17" t="s">
        <v>36</v>
      </c>
      <c r="G20" s="33">
        <v>2.0</v>
      </c>
      <c r="H20" s="21"/>
      <c r="I20" s="21"/>
      <c r="J20" s="20"/>
      <c r="K20" s="21"/>
      <c r="L20" s="21"/>
      <c r="M20" s="20"/>
      <c r="N20" s="21"/>
      <c r="O20" s="21"/>
      <c r="P20" s="20"/>
      <c r="Q20" s="21"/>
      <c r="R20" s="21"/>
      <c r="S20" s="20"/>
      <c r="T20" s="21"/>
      <c r="U20" s="21"/>
      <c r="V20" s="20"/>
      <c r="W20" s="22"/>
      <c r="X20" s="22"/>
      <c r="Y20" s="20"/>
      <c r="Z20" s="23"/>
      <c r="AA20" s="23"/>
      <c r="AB20" s="20"/>
      <c r="AC20" s="19">
        <v>2.0</v>
      </c>
      <c r="AD20" s="19">
        <v>0.0</v>
      </c>
      <c r="AE20" s="20"/>
      <c r="AF20" s="24"/>
      <c r="AG20" s="24"/>
      <c r="AH20" s="20"/>
      <c r="AI20" s="24"/>
      <c r="AJ20" s="24"/>
      <c r="AK20" s="20"/>
      <c r="AL20" s="24"/>
      <c r="AM20" s="24"/>
      <c r="AN20" s="20"/>
      <c r="AO20" s="23"/>
      <c r="AP20" s="23"/>
      <c r="AQ20" s="20"/>
      <c r="AR20" s="23"/>
      <c r="AS20" s="23"/>
      <c r="AT20" s="20"/>
      <c r="AU20" s="23"/>
      <c r="AV20" s="23"/>
      <c r="AW20" s="20"/>
      <c r="AX20" s="25">
        <f t="shared" ref="AX20:AX24" si="5">H20+K20+N20+Q20+T20+W20+Z20+AC20+AF20+AI20+AL20+AO20+AR20+AU20</f>
        <v>2</v>
      </c>
      <c r="AY20" s="25">
        <f t="shared" ref="AY20:AY24" si="6">G20-AX20</f>
        <v>0</v>
      </c>
    </row>
    <row r="21">
      <c r="A21" s="1"/>
      <c r="B21" s="40"/>
      <c r="C21" s="32"/>
      <c r="D21" s="39" t="s">
        <v>60</v>
      </c>
      <c r="E21" s="39" t="s">
        <v>35</v>
      </c>
      <c r="F21" s="17" t="s">
        <v>36</v>
      </c>
      <c r="G21" s="18">
        <v>2.0</v>
      </c>
      <c r="H21" s="21"/>
      <c r="I21" s="21"/>
      <c r="J21" s="20"/>
      <c r="K21" s="21"/>
      <c r="L21" s="21"/>
      <c r="M21" s="20"/>
      <c r="N21" s="21"/>
      <c r="O21" s="21"/>
      <c r="P21" s="20"/>
      <c r="Q21" s="21"/>
      <c r="R21" s="21"/>
      <c r="S21" s="20"/>
      <c r="T21" s="21"/>
      <c r="U21" s="21"/>
      <c r="V21" s="20"/>
      <c r="W21" s="22"/>
      <c r="X21" s="22"/>
      <c r="Y21" s="20"/>
      <c r="Z21" s="23"/>
      <c r="AA21" s="23"/>
      <c r="AB21" s="20"/>
      <c r="AC21" s="19">
        <v>1.0</v>
      </c>
      <c r="AD21" s="19">
        <v>1.0</v>
      </c>
      <c r="AE21" s="20"/>
      <c r="AF21" s="34">
        <v>1.0</v>
      </c>
      <c r="AG21" s="34">
        <v>0.0</v>
      </c>
      <c r="AH21" s="20"/>
      <c r="AI21" s="24"/>
      <c r="AJ21" s="24"/>
      <c r="AK21" s="20"/>
      <c r="AL21" s="24"/>
      <c r="AM21" s="24"/>
      <c r="AN21" s="20"/>
      <c r="AO21" s="23"/>
      <c r="AP21" s="23"/>
      <c r="AQ21" s="20"/>
      <c r="AR21" s="23"/>
      <c r="AS21" s="23"/>
      <c r="AT21" s="20"/>
      <c r="AU21" s="23"/>
      <c r="AV21" s="23"/>
      <c r="AW21" s="20"/>
      <c r="AX21" s="25">
        <f t="shared" si="5"/>
        <v>2</v>
      </c>
      <c r="AY21" s="25">
        <f t="shared" si="6"/>
        <v>0</v>
      </c>
    </row>
    <row r="22">
      <c r="A22" s="1"/>
      <c r="B22" s="32"/>
      <c r="C22" s="32"/>
      <c r="D22" s="39" t="s">
        <v>61</v>
      </c>
      <c r="E22" s="39" t="s">
        <v>35</v>
      </c>
      <c r="F22" s="17" t="s">
        <v>36</v>
      </c>
      <c r="G22" s="18">
        <v>1.0</v>
      </c>
      <c r="H22" s="21"/>
      <c r="I22" s="21"/>
      <c r="J22" s="20"/>
      <c r="K22" s="21"/>
      <c r="L22" s="21"/>
      <c r="M22" s="20"/>
      <c r="N22" s="21"/>
      <c r="O22" s="21"/>
      <c r="P22" s="20"/>
      <c r="Q22" s="21"/>
      <c r="R22" s="21"/>
      <c r="S22" s="20"/>
      <c r="T22" s="21"/>
      <c r="U22" s="21"/>
      <c r="V22" s="20"/>
      <c r="W22" s="22"/>
      <c r="X22" s="22"/>
      <c r="Y22" s="20"/>
      <c r="Z22" s="23"/>
      <c r="AA22" s="23"/>
      <c r="AB22" s="20"/>
      <c r="AC22" s="21"/>
      <c r="AD22" s="21"/>
      <c r="AE22" s="20"/>
      <c r="AF22" s="34">
        <v>1.0</v>
      </c>
      <c r="AG22" s="34">
        <v>0.0</v>
      </c>
      <c r="AH22" s="20"/>
      <c r="AI22" s="34"/>
      <c r="AJ22" s="34"/>
      <c r="AK22" s="20"/>
      <c r="AL22" s="24"/>
      <c r="AM22" s="24"/>
      <c r="AN22" s="20"/>
      <c r="AO22" s="23"/>
      <c r="AP22" s="23"/>
      <c r="AQ22" s="20"/>
      <c r="AR22" s="23"/>
      <c r="AS22" s="23"/>
      <c r="AT22" s="20"/>
      <c r="AU22" s="23"/>
      <c r="AV22" s="23"/>
      <c r="AW22" s="20"/>
      <c r="AX22" s="25">
        <f t="shared" si="5"/>
        <v>1</v>
      </c>
      <c r="AY22" s="25">
        <f t="shared" si="6"/>
        <v>0</v>
      </c>
    </row>
    <row r="23">
      <c r="A23" s="1"/>
      <c r="B23" s="32"/>
      <c r="C23" s="32"/>
      <c r="D23" s="39" t="s">
        <v>62</v>
      </c>
      <c r="E23" s="39" t="s">
        <v>52</v>
      </c>
      <c r="F23" s="17" t="s">
        <v>36</v>
      </c>
      <c r="G23" s="18">
        <v>3.0</v>
      </c>
      <c r="H23" s="21"/>
      <c r="I23" s="21"/>
      <c r="J23" s="20"/>
      <c r="K23" s="21"/>
      <c r="L23" s="21"/>
      <c r="M23" s="20"/>
      <c r="N23" s="21"/>
      <c r="O23" s="21"/>
      <c r="P23" s="20"/>
      <c r="Q23" s="21"/>
      <c r="R23" s="21"/>
      <c r="S23" s="20"/>
      <c r="T23" s="21"/>
      <c r="U23" s="21"/>
      <c r="V23" s="20"/>
      <c r="W23" s="22"/>
      <c r="X23" s="22"/>
      <c r="Y23" s="20"/>
      <c r="Z23" s="23"/>
      <c r="AA23" s="23"/>
      <c r="AB23" s="20"/>
      <c r="AC23" s="21"/>
      <c r="AD23" s="21"/>
      <c r="AE23" s="20"/>
      <c r="AF23" s="24"/>
      <c r="AG23" s="24"/>
      <c r="AH23" s="20"/>
      <c r="AI23" s="34">
        <v>3.0</v>
      </c>
      <c r="AJ23" s="34">
        <v>0.0</v>
      </c>
      <c r="AK23" s="20"/>
      <c r="AL23" s="34"/>
      <c r="AM23" s="34"/>
      <c r="AN23" s="20"/>
      <c r="AO23" s="23"/>
      <c r="AP23" s="23"/>
      <c r="AQ23" s="20"/>
      <c r="AR23" s="23"/>
      <c r="AS23" s="23"/>
      <c r="AT23" s="20"/>
      <c r="AU23" s="23"/>
      <c r="AV23" s="23"/>
      <c r="AW23" s="20"/>
      <c r="AX23" s="25">
        <f t="shared" si="5"/>
        <v>3</v>
      </c>
      <c r="AY23" s="25">
        <f t="shared" si="6"/>
        <v>0</v>
      </c>
    </row>
    <row r="24">
      <c r="A24" s="1"/>
      <c r="B24" s="32"/>
      <c r="C24" s="32"/>
      <c r="D24" s="39" t="s">
        <v>63</v>
      </c>
      <c r="E24" s="39" t="s">
        <v>48</v>
      </c>
      <c r="F24" s="17" t="s">
        <v>36</v>
      </c>
      <c r="G24" s="18">
        <v>2.0</v>
      </c>
      <c r="H24" s="21"/>
      <c r="I24" s="21"/>
      <c r="J24" s="20"/>
      <c r="K24" s="21"/>
      <c r="L24" s="21"/>
      <c r="M24" s="20"/>
      <c r="N24" s="21"/>
      <c r="O24" s="21"/>
      <c r="P24" s="20"/>
      <c r="Q24" s="21"/>
      <c r="R24" s="21"/>
      <c r="S24" s="20"/>
      <c r="T24" s="21"/>
      <c r="U24" s="21"/>
      <c r="V24" s="20"/>
      <c r="W24" s="22"/>
      <c r="X24" s="22"/>
      <c r="Y24" s="20"/>
      <c r="Z24" s="23"/>
      <c r="AA24" s="23"/>
      <c r="AB24" s="20"/>
      <c r="AC24" s="21"/>
      <c r="AD24" s="21"/>
      <c r="AE24" s="20"/>
      <c r="AF24" s="24"/>
      <c r="AG24" s="24"/>
      <c r="AH24" s="20"/>
      <c r="AI24" s="24"/>
      <c r="AJ24" s="24"/>
      <c r="AK24" s="20"/>
      <c r="AL24" s="34">
        <v>2.0</v>
      </c>
      <c r="AM24" s="34">
        <v>0.0</v>
      </c>
      <c r="AN24" s="20"/>
      <c r="AO24" s="23"/>
      <c r="AP24" s="23"/>
      <c r="AQ24" s="20"/>
      <c r="AR24" s="23"/>
      <c r="AS24" s="23"/>
      <c r="AT24" s="20"/>
      <c r="AU24" s="23"/>
      <c r="AV24" s="23"/>
      <c r="AW24" s="20"/>
      <c r="AX24" s="25">
        <f t="shared" si="5"/>
        <v>2</v>
      </c>
      <c r="AY24" s="25">
        <f t="shared" si="6"/>
        <v>0</v>
      </c>
    </row>
    <row r="25">
      <c r="A25" s="1"/>
      <c r="B25" s="41"/>
      <c r="C25" s="41"/>
      <c r="D25" s="41"/>
      <c r="E25" s="30"/>
      <c r="F25" s="30"/>
      <c r="G25" s="30"/>
      <c r="H25" s="21"/>
      <c r="I25" s="21"/>
      <c r="J25" s="20"/>
      <c r="K25" s="21"/>
      <c r="L25" s="21"/>
      <c r="M25" s="20"/>
      <c r="N25" s="21"/>
      <c r="O25" s="21"/>
      <c r="P25" s="20"/>
      <c r="Q25" s="21"/>
      <c r="R25" s="21"/>
      <c r="S25" s="20"/>
      <c r="T25" s="21"/>
      <c r="U25" s="21"/>
      <c r="V25" s="20"/>
      <c r="W25" s="22"/>
      <c r="X25" s="22"/>
      <c r="Y25" s="20"/>
      <c r="Z25" s="23"/>
      <c r="AA25" s="23"/>
      <c r="AB25" s="20"/>
      <c r="AC25" s="21"/>
      <c r="AD25" s="21"/>
      <c r="AE25" s="20"/>
      <c r="AF25" s="24"/>
      <c r="AG25" s="24"/>
      <c r="AH25" s="20"/>
      <c r="AI25" s="24"/>
      <c r="AJ25" s="24"/>
      <c r="AK25" s="20"/>
      <c r="AL25" s="24"/>
      <c r="AM25" s="24"/>
      <c r="AN25" s="20"/>
      <c r="AO25" s="23"/>
      <c r="AP25" s="23"/>
      <c r="AQ25" s="20"/>
      <c r="AR25" s="23"/>
      <c r="AS25" s="23"/>
      <c r="AT25" s="20"/>
      <c r="AU25" s="23"/>
      <c r="AV25" s="23"/>
      <c r="AW25" s="20"/>
      <c r="AX25" s="25"/>
      <c r="AY25" s="25"/>
    </row>
    <row r="26">
      <c r="A26" s="1"/>
      <c r="B26" s="37" t="s">
        <v>64</v>
      </c>
      <c r="C26" s="39" t="s">
        <v>65</v>
      </c>
      <c r="D26" s="39" t="s">
        <v>66</v>
      </c>
      <c r="E26" s="39" t="s">
        <v>35</v>
      </c>
      <c r="F26" s="17" t="s">
        <v>36</v>
      </c>
      <c r="G26" s="18">
        <v>2.0</v>
      </c>
      <c r="H26" s="21"/>
      <c r="I26" s="21"/>
      <c r="J26" s="20"/>
      <c r="K26" s="19">
        <v>1.0</v>
      </c>
      <c r="L26" s="19">
        <v>1.0</v>
      </c>
      <c r="M26" s="20"/>
      <c r="N26" s="19">
        <v>1.0</v>
      </c>
      <c r="O26" s="19">
        <v>0.0</v>
      </c>
      <c r="P26" s="20"/>
      <c r="Q26" s="21"/>
      <c r="R26" s="21"/>
      <c r="S26" s="20"/>
      <c r="T26" s="21"/>
      <c r="U26" s="21"/>
      <c r="V26" s="20"/>
      <c r="W26" s="22"/>
      <c r="X26" s="22"/>
      <c r="Y26" s="20"/>
      <c r="Z26" s="23"/>
      <c r="AA26" s="23"/>
      <c r="AB26" s="20"/>
      <c r="AC26" s="21"/>
      <c r="AD26" s="21"/>
      <c r="AE26" s="20"/>
      <c r="AF26" s="24"/>
      <c r="AG26" s="24"/>
      <c r="AH26" s="20"/>
      <c r="AI26" s="24"/>
      <c r="AJ26" s="24"/>
      <c r="AK26" s="20"/>
      <c r="AL26" s="24"/>
      <c r="AM26" s="24"/>
      <c r="AN26" s="20"/>
      <c r="AO26" s="23"/>
      <c r="AP26" s="23"/>
      <c r="AQ26" s="20"/>
      <c r="AR26" s="23"/>
      <c r="AS26" s="23"/>
      <c r="AT26" s="20"/>
      <c r="AU26" s="23"/>
      <c r="AV26" s="23"/>
      <c r="AW26" s="20"/>
      <c r="AX26" s="25">
        <f t="shared" ref="AX26:AX29" si="7">H26+K26+N26+Q26+T26+W26+Z26+AC26+AF26+AI26+AL26+AO26+AR26+AU26</f>
        <v>2</v>
      </c>
      <c r="AY26" s="25">
        <f t="shared" ref="AY26:AY29" si="8">G26-AX26</f>
        <v>0</v>
      </c>
    </row>
    <row r="27">
      <c r="A27" s="1"/>
      <c r="B27" s="32"/>
      <c r="C27" s="32"/>
      <c r="D27" s="39" t="s">
        <v>67</v>
      </c>
      <c r="E27" s="39" t="s">
        <v>52</v>
      </c>
      <c r="F27" s="17" t="s">
        <v>36</v>
      </c>
      <c r="G27" s="18">
        <v>1.0</v>
      </c>
      <c r="H27" s="21"/>
      <c r="I27" s="21"/>
      <c r="J27" s="20"/>
      <c r="K27" s="21"/>
      <c r="L27" s="21"/>
      <c r="M27" s="20"/>
      <c r="N27" s="19">
        <v>1.0</v>
      </c>
      <c r="O27" s="19">
        <v>0.0</v>
      </c>
      <c r="P27" s="20"/>
      <c r="Q27" s="21"/>
      <c r="R27" s="21"/>
      <c r="S27" s="20"/>
      <c r="T27" s="21"/>
      <c r="U27" s="21"/>
      <c r="V27" s="20"/>
      <c r="W27" s="22"/>
      <c r="X27" s="22"/>
      <c r="Y27" s="20"/>
      <c r="Z27" s="23"/>
      <c r="AA27" s="23"/>
      <c r="AB27" s="20"/>
      <c r="AC27" s="21"/>
      <c r="AD27" s="21"/>
      <c r="AE27" s="20"/>
      <c r="AF27" s="24"/>
      <c r="AG27" s="24"/>
      <c r="AH27" s="20"/>
      <c r="AI27" s="24"/>
      <c r="AJ27" s="24"/>
      <c r="AK27" s="20"/>
      <c r="AL27" s="24"/>
      <c r="AM27" s="24"/>
      <c r="AN27" s="20"/>
      <c r="AO27" s="23"/>
      <c r="AP27" s="23"/>
      <c r="AQ27" s="20"/>
      <c r="AR27" s="23"/>
      <c r="AS27" s="23"/>
      <c r="AT27" s="20"/>
      <c r="AU27" s="23"/>
      <c r="AV27" s="23"/>
      <c r="AW27" s="20"/>
      <c r="AX27" s="25">
        <f t="shared" si="7"/>
        <v>1</v>
      </c>
      <c r="AY27" s="25">
        <f t="shared" si="8"/>
        <v>0</v>
      </c>
    </row>
    <row r="28">
      <c r="A28" s="1"/>
      <c r="B28" s="3"/>
      <c r="C28" s="3"/>
      <c r="D28" s="39" t="s">
        <v>68</v>
      </c>
      <c r="E28" s="39" t="s">
        <v>52</v>
      </c>
      <c r="F28" s="17" t="s">
        <v>36</v>
      </c>
      <c r="G28" s="18">
        <v>2.0</v>
      </c>
      <c r="H28" s="21"/>
      <c r="I28" s="21"/>
      <c r="J28" s="20"/>
      <c r="K28" s="21"/>
      <c r="L28" s="21"/>
      <c r="M28" s="20"/>
      <c r="N28" s="21"/>
      <c r="O28" s="21"/>
      <c r="P28" s="20"/>
      <c r="Q28" s="19">
        <v>2.0</v>
      </c>
      <c r="R28" s="19">
        <v>0.0</v>
      </c>
      <c r="S28" s="20"/>
      <c r="T28" s="21"/>
      <c r="U28" s="21"/>
      <c r="V28" s="20"/>
      <c r="W28" s="22"/>
      <c r="X28" s="22"/>
      <c r="Y28" s="20"/>
      <c r="Z28" s="23"/>
      <c r="AA28" s="23"/>
      <c r="AB28" s="20"/>
      <c r="AC28" s="21"/>
      <c r="AD28" s="21"/>
      <c r="AE28" s="20"/>
      <c r="AF28" s="24"/>
      <c r="AG28" s="24"/>
      <c r="AH28" s="20"/>
      <c r="AI28" s="24"/>
      <c r="AJ28" s="24"/>
      <c r="AK28" s="20"/>
      <c r="AL28" s="24"/>
      <c r="AM28" s="24"/>
      <c r="AN28" s="20"/>
      <c r="AO28" s="23"/>
      <c r="AP28" s="23"/>
      <c r="AQ28" s="20"/>
      <c r="AR28" s="23"/>
      <c r="AS28" s="23"/>
      <c r="AT28" s="20"/>
      <c r="AU28" s="23"/>
      <c r="AV28" s="23"/>
      <c r="AW28" s="20"/>
      <c r="AX28" s="25">
        <f t="shared" si="7"/>
        <v>2</v>
      </c>
      <c r="AY28" s="25">
        <f t="shared" si="8"/>
        <v>0</v>
      </c>
    </row>
    <row r="29">
      <c r="A29" s="1"/>
      <c r="B29" s="42"/>
      <c r="C29" s="42"/>
      <c r="D29" s="39" t="s">
        <v>69</v>
      </c>
      <c r="E29" s="39" t="s">
        <v>52</v>
      </c>
      <c r="F29" s="17" t="s">
        <v>36</v>
      </c>
      <c r="G29" s="18">
        <v>1.5</v>
      </c>
      <c r="H29" s="21"/>
      <c r="I29" s="21"/>
      <c r="J29" s="20"/>
      <c r="K29" s="21"/>
      <c r="L29" s="21"/>
      <c r="M29" s="20"/>
      <c r="N29" s="21"/>
      <c r="O29" s="21"/>
      <c r="P29" s="20"/>
      <c r="Q29" s="19">
        <v>1.0</v>
      </c>
      <c r="R29" s="19" t="s">
        <v>70</v>
      </c>
      <c r="S29" s="20"/>
      <c r="T29" s="19">
        <v>0.5</v>
      </c>
      <c r="U29" s="19">
        <v>0.0</v>
      </c>
      <c r="V29" s="20"/>
      <c r="W29" s="22"/>
      <c r="X29" s="22"/>
      <c r="Y29" s="20"/>
      <c r="Z29" s="23"/>
      <c r="AA29" s="23"/>
      <c r="AB29" s="20"/>
      <c r="AC29" s="21"/>
      <c r="AD29" s="21"/>
      <c r="AE29" s="20"/>
      <c r="AF29" s="24"/>
      <c r="AG29" s="24"/>
      <c r="AH29" s="20"/>
      <c r="AI29" s="24"/>
      <c r="AJ29" s="24"/>
      <c r="AK29" s="20"/>
      <c r="AL29" s="24"/>
      <c r="AM29" s="24"/>
      <c r="AN29" s="20"/>
      <c r="AO29" s="23"/>
      <c r="AP29" s="23"/>
      <c r="AQ29" s="20"/>
      <c r="AR29" s="23"/>
      <c r="AS29" s="23"/>
      <c r="AT29" s="20"/>
      <c r="AU29" s="23"/>
      <c r="AV29" s="23"/>
      <c r="AW29" s="20"/>
      <c r="AX29" s="25">
        <f t="shared" si="7"/>
        <v>1.5</v>
      </c>
      <c r="AY29" s="25">
        <f t="shared" si="8"/>
        <v>0</v>
      </c>
    </row>
    <row r="30" ht="43.5" customHeight="1">
      <c r="A30" s="1"/>
      <c r="B30" s="42"/>
      <c r="C30" s="42"/>
      <c r="D30" s="39" t="s">
        <v>71</v>
      </c>
      <c r="E30" s="39" t="s">
        <v>52</v>
      </c>
      <c r="F30" s="17" t="s">
        <v>36</v>
      </c>
      <c r="G30" s="18">
        <v>1.5</v>
      </c>
      <c r="H30" s="21"/>
      <c r="I30" s="21"/>
      <c r="J30" s="20"/>
      <c r="K30" s="21"/>
      <c r="L30" s="21"/>
      <c r="M30" s="20"/>
      <c r="N30" s="21"/>
      <c r="O30" s="21"/>
      <c r="P30" s="20"/>
      <c r="Q30" s="21"/>
      <c r="R30" s="21"/>
      <c r="S30" s="20"/>
      <c r="T30" s="19">
        <v>1.5</v>
      </c>
      <c r="U30" s="19">
        <v>0.0</v>
      </c>
      <c r="V30" s="20"/>
      <c r="W30" s="22"/>
      <c r="X30" s="22"/>
      <c r="Y30" s="20"/>
      <c r="Z30" s="23"/>
      <c r="AA30" s="23"/>
      <c r="AB30" s="20"/>
      <c r="AC30" s="21"/>
      <c r="AD30" s="21"/>
      <c r="AE30" s="20"/>
      <c r="AF30" s="24"/>
      <c r="AG30" s="24"/>
      <c r="AH30" s="20"/>
      <c r="AI30" s="24"/>
      <c r="AJ30" s="24"/>
      <c r="AK30" s="20"/>
      <c r="AL30" s="24"/>
      <c r="AM30" s="24"/>
      <c r="AN30" s="20"/>
      <c r="AO30" s="23"/>
      <c r="AP30" s="23"/>
      <c r="AQ30" s="20"/>
      <c r="AR30" s="23"/>
      <c r="AS30" s="23"/>
      <c r="AT30" s="20"/>
      <c r="AU30" s="23"/>
      <c r="AV30" s="23"/>
      <c r="AW30" s="20"/>
      <c r="AX30" s="25"/>
      <c r="AY30" s="25"/>
    </row>
    <row r="31" ht="43.5" customHeight="1">
      <c r="A31" s="1"/>
      <c r="B31" s="42"/>
      <c r="C31" s="42"/>
      <c r="D31" s="39" t="s">
        <v>72</v>
      </c>
      <c r="E31" s="39" t="s">
        <v>52</v>
      </c>
      <c r="F31" s="17" t="s">
        <v>36</v>
      </c>
      <c r="G31" s="18">
        <v>1.0</v>
      </c>
      <c r="H31" s="21"/>
      <c r="I31" s="21"/>
      <c r="J31" s="20"/>
      <c r="K31" s="21"/>
      <c r="L31" s="21"/>
      <c r="M31" s="20"/>
      <c r="N31" s="21"/>
      <c r="O31" s="21"/>
      <c r="P31" s="20"/>
      <c r="Q31" s="21"/>
      <c r="R31" s="21"/>
      <c r="S31" s="20"/>
      <c r="T31" s="21"/>
      <c r="U31" s="21"/>
      <c r="V31" s="20"/>
      <c r="W31" s="22"/>
      <c r="X31" s="22"/>
      <c r="Y31" s="20"/>
      <c r="Z31" s="23"/>
      <c r="AA31" s="23"/>
      <c r="AB31" s="20"/>
      <c r="AC31" s="19">
        <v>1.0</v>
      </c>
      <c r="AD31" s="19">
        <v>0.0</v>
      </c>
      <c r="AE31" s="20"/>
      <c r="AF31" s="24"/>
      <c r="AG31" s="24"/>
      <c r="AH31" s="20"/>
      <c r="AI31" s="24"/>
      <c r="AJ31" s="24"/>
      <c r="AK31" s="20"/>
      <c r="AL31" s="24"/>
      <c r="AM31" s="24"/>
      <c r="AN31" s="20"/>
      <c r="AO31" s="23"/>
      <c r="AP31" s="23"/>
      <c r="AQ31" s="20"/>
      <c r="AR31" s="23"/>
      <c r="AS31" s="23"/>
      <c r="AT31" s="20"/>
      <c r="AU31" s="23"/>
      <c r="AV31" s="23"/>
      <c r="AW31" s="20"/>
      <c r="AX31" s="25">
        <f t="shared" ref="AX31:AX32" si="9">H31+K31+N31+Q31+T31+W31+Z31+AC31+AF31+AI31+AL31+AO31+AR31+AU31</f>
        <v>1</v>
      </c>
      <c r="AY31" s="25">
        <f t="shared" ref="AY31:AY32" si="10">G31-AX31</f>
        <v>0</v>
      </c>
    </row>
    <row r="32">
      <c r="A32" s="1"/>
      <c r="B32" s="42"/>
      <c r="C32" s="43"/>
      <c r="D32" s="39" t="s">
        <v>73</v>
      </c>
      <c r="E32" s="39" t="s">
        <v>74</v>
      </c>
      <c r="F32" s="17" t="s">
        <v>36</v>
      </c>
      <c r="G32" s="18">
        <v>1.0</v>
      </c>
      <c r="H32" s="21"/>
      <c r="I32" s="21"/>
      <c r="J32" s="20"/>
      <c r="K32" s="21"/>
      <c r="L32" s="21"/>
      <c r="M32" s="20"/>
      <c r="N32" s="21"/>
      <c r="O32" s="21"/>
      <c r="P32" s="20"/>
      <c r="Q32" s="21"/>
      <c r="R32" s="21"/>
      <c r="S32" s="20"/>
      <c r="T32" s="21"/>
      <c r="U32" s="21"/>
      <c r="V32" s="20"/>
      <c r="W32" s="22"/>
      <c r="X32" s="22"/>
      <c r="Y32" s="20"/>
      <c r="Z32" s="23"/>
      <c r="AA32" s="23"/>
      <c r="AB32" s="20"/>
      <c r="AC32" s="19">
        <v>1.0</v>
      </c>
      <c r="AD32" s="19">
        <v>0.0</v>
      </c>
      <c r="AE32" s="20"/>
      <c r="AF32" s="24"/>
      <c r="AG32" s="24"/>
      <c r="AH32" s="20"/>
      <c r="AI32" s="24"/>
      <c r="AJ32" s="24"/>
      <c r="AK32" s="20"/>
      <c r="AL32" s="24"/>
      <c r="AM32" s="24"/>
      <c r="AN32" s="20"/>
      <c r="AO32" s="23"/>
      <c r="AP32" s="23"/>
      <c r="AQ32" s="20"/>
      <c r="AR32" s="23"/>
      <c r="AS32" s="23"/>
      <c r="AT32" s="20"/>
      <c r="AU32" s="23"/>
      <c r="AV32" s="23"/>
      <c r="AW32" s="20"/>
      <c r="AX32" s="25">
        <f t="shared" si="9"/>
        <v>1</v>
      </c>
      <c r="AY32" s="25">
        <f t="shared" si="10"/>
        <v>0</v>
      </c>
    </row>
    <row r="33">
      <c r="A33" s="1"/>
      <c r="B33" s="30"/>
      <c r="C33" s="30"/>
      <c r="D33" s="44"/>
      <c r="E33" s="30"/>
      <c r="F33" s="30"/>
      <c r="G33" s="30"/>
      <c r="H33" s="21"/>
      <c r="I33" s="21"/>
      <c r="J33" s="20"/>
      <c r="K33" s="21"/>
      <c r="L33" s="21"/>
      <c r="M33" s="20"/>
      <c r="N33" s="21"/>
      <c r="O33" s="21"/>
      <c r="P33" s="20"/>
      <c r="Q33" s="21"/>
      <c r="R33" s="21"/>
      <c r="S33" s="20"/>
      <c r="T33" s="21"/>
      <c r="U33" s="21"/>
      <c r="V33" s="20"/>
      <c r="W33" s="22"/>
      <c r="X33" s="22"/>
      <c r="Y33" s="20"/>
      <c r="Z33" s="23"/>
      <c r="AA33" s="23"/>
      <c r="AB33" s="20"/>
      <c r="AC33" s="21"/>
      <c r="AD33" s="21"/>
      <c r="AE33" s="20"/>
      <c r="AF33" s="24"/>
      <c r="AG33" s="24"/>
      <c r="AH33" s="20"/>
      <c r="AI33" s="24"/>
      <c r="AJ33" s="24"/>
      <c r="AK33" s="20"/>
      <c r="AL33" s="24"/>
      <c r="AM33" s="24"/>
      <c r="AN33" s="20"/>
      <c r="AO33" s="23"/>
      <c r="AP33" s="23"/>
      <c r="AQ33" s="20"/>
      <c r="AR33" s="23"/>
      <c r="AS33" s="23"/>
      <c r="AT33" s="20"/>
      <c r="AU33" s="23"/>
      <c r="AV33" s="23"/>
      <c r="AW33" s="20"/>
      <c r="AX33" s="25"/>
      <c r="AY33" s="25"/>
    </row>
    <row r="34" ht="52.5" customHeight="1">
      <c r="A34" s="1"/>
      <c r="B34" s="37" t="s">
        <v>75</v>
      </c>
      <c r="C34" s="38" t="s">
        <v>76</v>
      </c>
      <c r="D34" s="39" t="s">
        <v>77</v>
      </c>
      <c r="E34" s="39" t="s">
        <v>78</v>
      </c>
      <c r="F34" s="17" t="s">
        <v>36</v>
      </c>
      <c r="G34" s="18">
        <v>3.0</v>
      </c>
      <c r="H34" s="19">
        <v>1.0</v>
      </c>
      <c r="I34" s="19">
        <v>2.0</v>
      </c>
      <c r="J34" s="20"/>
      <c r="K34" s="21"/>
      <c r="L34" s="21"/>
      <c r="M34" s="20"/>
      <c r="N34" s="21"/>
      <c r="O34" s="21"/>
      <c r="P34" s="20"/>
      <c r="Q34" s="21"/>
      <c r="R34" s="21"/>
      <c r="S34" s="20"/>
      <c r="T34" s="19">
        <v>1.0</v>
      </c>
      <c r="U34" s="19">
        <v>1.0</v>
      </c>
      <c r="V34" s="20"/>
      <c r="W34" s="22"/>
      <c r="X34" s="22"/>
      <c r="Y34" s="20"/>
      <c r="Z34" s="23"/>
      <c r="AA34" s="23"/>
      <c r="AB34" s="20"/>
      <c r="AC34" s="21"/>
      <c r="AD34" s="21"/>
      <c r="AE34" s="20"/>
      <c r="AF34" s="24"/>
      <c r="AG34" s="24"/>
      <c r="AH34" s="20"/>
      <c r="AI34" s="34">
        <v>0.5</v>
      </c>
      <c r="AJ34" s="34">
        <v>0.5</v>
      </c>
      <c r="AK34" s="20"/>
      <c r="AL34" s="34">
        <v>0.5</v>
      </c>
      <c r="AM34" s="34">
        <v>0.0</v>
      </c>
      <c r="AN34" s="20"/>
      <c r="AO34" s="23"/>
      <c r="AP34" s="23"/>
      <c r="AQ34" s="20"/>
      <c r="AR34" s="23"/>
      <c r="AS34" s="23"/>
      <c r="AT34" s="20"/>
      <c r="AU34" s="23"/>
      <c r="AV34" s="23"/>
      <c r="AW34" s="20"/>
      <c r="AX34" s="25">
        <f t="shared" ref="AX34:AX41" si="11">H34+K34+N34+Q34+T34+W34+Z34+AC34+AF34+AI34+AL34+AO34+AR34+AU34</f>
        <v>3</v>
      </c>
      <c r="AY34" s="25">
        <f t="shared" ref="AY34:AY40" si="12">G34-AX34</f>
        <v>0</v>
      </c>
    </row>
    <row r="35">
      <c r="A35" s="1"/>
      <c r="B35" s="30"/>
      <c r="C35" s="30"/>
      <c r="D35" s="44"/>
      <c r="E35" s="30"/>
      <c r="F35" s="30"/>
      <c r="G35" s="30"/>
      <c r="H35" s="21"/>
      <c r="I35" s="21"/>
      <c r="J35" s="20"/>
      <c r="K35" s="21"/>
      <c r="L35" s="21"/>
      <c r="M35" s="20"/>
      <c r="N35" s="21"/>
      <c r="O35" s="21"/>
      <c r="P35" s="20"/>
      <c r="Q35" s="21"/>
      <c r="R35" s="21"/>
      <c r="S35" s="20"/>
      <c r="T35" s="21"/>
      <c r="U35" s="21"/>
      <c r="V35" s="20"/>
      <c r="W35" s="22"/>
      <c r="X35" s="22"/>
      <c r="Y35" s="20"/>
      <c r="Z35" s="23"/>
      <c r="AA35" s="23"/>
      <c r="AB35" s="20"/>
      <c r="AC35" s="21"/>
      <c r="AD35" s="21"/>
      <c r="AE35" s="20"/>
      <c r="AF35" s="24"/>
      <c r="AG35" s="24"/>
      <c r="AH35" s="20"/>
      <c r="AI35" s="24"/>
      <c r="AJ35" s="24"/>
      <c r="AK35" s="20"/>
      <c r="AL35" s="24"/>
      <c r="AM35" s="24"/>
      <c r="AN35" s="20"/>
      <c r="AO35" s="23"/>
      <c r="AP35" s="23"/>
      <c r="AQ35" s="20"/>
      <c r="AR35" s="23"/>
      <c r="AS35" s="23"/>
      <c r="AT35" s="20"/>
      <c r="AU35" s="23"/>
      <c r="AV35" s="23"/>
      <c r="AW35" s="20"/>
      <c r="AX35" s="25">
        <f t="shared" si="11"/>
        <v>0</v>
      </c>
      <c r="AY35" s="25">
        <f t="shared" si="12"/>
        <v>0</v>
      </c>
    </row>
    <row r="36" ht="120.75" customHeight="1">
      <c r="A36" s="1"/>
      <c r="B36" s="37" t="s">
        <v>79</v>
      </c>
      <c r="C36" s="39" t="s">
        <v>80</v>
      </c>
      <c r="D36" s="39" t="s">
        <v>81</v>
      </c>
      <c r="E36" s="39" t="s">
        <v>48</v>
      </c>
      <c r="F36" s="17" t="s">
        <v>36</v>
      </c>
      <c r="G36" s="18">
        <v>2.0</v>
      </c>
      <c r="H36" s="19">
        <v>1.0</v>
      </c>
      <c r="I36" s="19">
        <v>1.0</v>
      </c>
      <c r="J36" s="20"/>
      <c r="K36" s="19">
        <v>1.0</v>
      </c>
      <c r="L36" s="19">
        <v>0.0</v>
      </c>
      <c r="M36" s="20"/>
      <c r="N36" s="21"/>
      <c r="O36" s="21"/>
      <c r="P36" s="20"/>
      <c r="Q36" s="21"/>
      <c r="R36" s="21"/>
      <c r="S36" s="20"/>
      <c r="T36" s="21"/>
      <c r="U36" s="21"/>
      <c r="V36" s="20"/>
      <c r="W36" s="22"/>
      <c r="X36" s="22"/>
      <c r="Y36" s="20"/>
      <c r="Z36" s="23"/>
      <c r="AA36" s="23"/>
      <c r="AB36" s="20"/>
      <c r="AC36" s="21"/>
      <c r="AD36" s="21"/>
      <c r="AE36" s="20"/>
      <c r="AF36" s="24"/>
      <c r="AG36" s="24"/>
      <c r="AH36" s="20"/>
      <c r="AI36" s="24"/>
      <c r="AJ36" s="24"/>
      <c r="AK36" s="20"/>
      <c r="AL36" s="24"/>
      <c r="AM36" s="24"/>
      <c r="AN36" s="20"/>
      <c r="AO36" s="23"/>
      <c r="AP36" s="23"/>
      <c r="AQ36" s="20"/>
      <c r="AR36" s="23"/>
      <c r="AS36" s="23"/>
      <c r="AT36" s="20"/>
      <c r="AU36" s="23"/>
      <c r="AV36" s="23"/>
      <c r="AW36" s="20"/>
      <c r="AX36" s="25">
        <f t="shared" si="11"/>
        <v>2</v>
      </c>
      <c r="AY36" s="25">
        <f t="shared" si="12"/>
        <v>0</v>
      </c>
    </row>
    <row r="37" ht="34.5" customHeight="1">
      <c r="A37" s="1"/>
      <c r="B37" s="45"/>
      <c r="C37" s="45"/>
      <c r="D37" s="39" t="s">
        <v>82</v>
      </c>
      <c r="E37" s="39" t="s">
        <v>48</v>
      </c>
      <c r="F37" s="17" t="s">
        <v>36</v>
      </c>
      <c r="G37" s="18">
        <v>1.0</v>
      </c>
      <c r="H37" s="21"/>
      <c r="I37" s="21"/>
      <c r="J37" s="20"/>
      <c r="K37" s="21"/>
      <c r="L37" s="21"/>
      <c r="M37" s="20"/>
      <c r="N37" s="19"/>
      <c r="O37" s="19"/>
      <c r="P37" s="20"/>
      <c r="Q37" s="21"/>
      <c r="R37" s="21"/>
      <c r="S37" s="20"/>
      <c r="T37" s="21"/>
      <c r="U37" s="21"/>
      <c r="V37" s="20"/>
      <c r="W37" s="22"/>
      <c r="X37" s="22"/>
      <c r="Y37" s="20"/>
      <c r="Z37" s="23"/>
      <c r="AA37" s="23"/>
      <c r="AB37" s="20"/>
      <c r="AC37" s="19">
        <v>1.0</v>
      </c>
      <c r="AD37" s="19">
        <v>0.0</v>
      </c>
      <c r="AE37" s="20"/>
      <c r="AF37" s="24"/>
      <c r="AG37" s="24"/>
      <c r="AH37" s="20"/>
      <c r="AI37" s="24"/>
      <c r="AJ37" s="24"/>
      <c r="AK37" s="20"/>
      <c r="AL37" s="24"/>
      <c r="AM37" s="24"/>
      <c r="AN37" s="20"/>
      <c r="AO37" s="23"/>
      <c r="AP37" s="23"/>
      <c r="AQ37" s="20"/>
      <c r="AR37" s="23"/>
      <c r="AS37" s="23"/>
      <c r="AT37" s="20"/>
      <c r="AU37" s="23"/>
      <c r="AV37" s="23"/>
      <c r="AW37" s="20"/>
      <c r="AX37" s="25">
        <f t="shared" si="11"/>
        <v>1</v>
      </c>
      <c r="AY37" s="25">
        <f t="shared" si="12"/>
        <v>0</v>
      </c>
    </row>
    <row r="38" ht="34.5" customHeight="1">
      <c r="A38" s="1"/>
      <c r="B38" s="45"/>
      <c r="C38" s="45"/>
      <c r="D38" s="39" t="s">
        <v>83</v>
      </c>
      <c r="E38" s="39" t="s">
        <v>48</v>
      </c>
      <c r="F38" s="17" t="s">
        <v>36</v>
      </c>
      <c r="G38" s="18">
        <v>1.0</v>
      </c>
      <c r="H38" s="21"/>
      <c r="I38" s="21"/>
      <c r="J38" s="20"/>
      <c r="K38" s="21"/>
      <c r="L38" s="21"/>
      <c r="M38" s="20"/>
      <c r="N38" s="21"/>
      <c r="O38" s="21"/>
      <c r="P38" s="20"/>
      <c r="Q38" s="21"/>
      <c r="R38" s="21"/>
      <c r="S38" s="20"/>
      <c r="T38" s="21"/>
      <c r="U38" s="21"/>
      <c r="V38" s="20"/>
      <c r="W38" s="22"/>
      <c r="X38" s="22"/>
      <c r="Y38" s="20"/>
      <c r="Z38" s="23"/>
      <c r="AA38" s="23"/>
      <c r="AB38" s="20"/>
      <c r="AC38" s="21"/>
      <c r="AD38" s="21"/>
      <c r="AE38" s="20"/>
      <c r="AF38" s="34">
        <v>1.0</v>
      </c>
      <c r="AG38" s="34">
        <v>0.0</v>
      </c>
      <c r="AH38" s="20"/>
      <c r="AI38" s="24"/>
      <c r="AJ38" s="24"/>
      <c r="AK38" s="20"/>
      <c r="AL38" s="24"/>
      <c r="AM38" s="24"/>
      <c r="AN38" s="20"/>
      <c r="AO38" s="23"/>
      <c r="AP38" s="23"/>
      <c r="AQ38" s="20"/>
      <c r="AR38" s="23"/>
      <c r="AS38" s="23"/>
      <c r="AT38" s="20"/>
      <c r="AU38" s="23"/>
      <c r="AV38" s="23"/>
      <c r="AW38" s="20"/>
      <c r="AX38" s="25">
        <f t="shared" si="11"/>
        <v>1</v>
      </c>
      <c r="AY38" s="25">
        <f t="shared" si="12"/>
        <v>0</v>
      </c>
    </row>
    <row r="39" ht="34.5" customHeight="1">
      <c r="A39" s="1"/>
      <c r="B39" s="45"/>
      <c r="C39" s="45"/>
      <c r="D39" s="3"/>
      <c r="E39" s="3"/>
      <c r="F39" s="46"/>
      <c r="G39" s="3"/>
      <c r="H39" s="21"/>
      <c r="I39" s="21"/>
      <c r="J39" s="20"/>
      <c r="K39" s="21"/>
      <c r="L39" s="21"/>
      <c r="M39" s="20"/>
      <c r="N39" s="21"/>
      <c r="O39" s="21"/>
      <c r="P39" s="20"/>
      <c r="Q39" s="21"/>
      <c r="R39" s="21"/>
      <c r="S39" s="20"/>
      <c r="T39" s="21"/>
      <c r="U39" s="21"/>
      <c r="V39" s="20"/>
      <c r="W39" s="22"/>
      <c r="X39" s="22"/>
      <c r="Y39" s="20"/>
      <c r="Z39" s="23"/>
      <c r="AA39" s="23"/>
      <c r="AB39" s="20"/>
      <c r="AC39" s="21"/>
      <c r="AD39" s="21"/>
      <c r="AE39" s="20"/>
      <c r="AF39" s="24"/>
      <c r="AG39" s="24"/>
      <c r="AH39" s="20"/>
      <c r="AI39" s="24"/>
      <c r="AJ39" s="24"/>
      <c r="AK39" s="20"/>
      <c r="AL39" s="24"/>
      <c r="AM39" s="24"/>
      <c r="AN39" s="20"/>
      <c r="AO39" s="23"/>
      <c r="AP39" s="23"/>
      <c r="AQ39" s="20"/>
      <c r="AR39" s="23"/>
      <c r="AS39" s="23"/>
      <c r="AT39" s="20"/>
      <c r="AU39" s="23"/>
      <c r="AV39" s="23"/>
      <c r="AW39" s="20"/>
      <c r="AX39" s="25">
        <f t="shared" si="11"/>
        <v>0</v>
      </c>
      <c r="AY39" s="25">
        <f t="shared" si="12"/>
        <v>0</v>
      </c>
    </row>
    <row r="40" ht="35.25" customHeight="1">
      <c r="A40" s="1"/>
      <c r="B40" s="3"/>
      <c r="C40" s="3"/>
      <c r="D40" s="3"/>
      <c r="E40" s="3"/>
      <c r="F40" s="46"/>
      <c r="G40" s="3"/>
      <c r="H40" s="21"/>
      <c r="I40" s="21"/>
      <c r="J40" s="20"/>
      <c r="K40" s="21"/>
      <c r="L40" s="21"/>
      <c r="M40" s="20"/>
      <c r="N40" s="21"/>
      <c r="O40" s="21"/>
      <c r="P40" s="20"/>
      <c r="Q40" s="21"/>
      <c r="R40" s="21"/>
      <c r="S40" s="20"/>
      <c r="T40" s="21"/>
      <c r="U40" s="21"/>
      <c r="V40" s="20"/>
      <c r="W40" s="22"/>
      <c r="X40" s="22"/>
      <c r="Y40" s="20"/>
      <c r="Z40" s="23"/>
      <c r="AA40" s="23"/>
      <c r="AB40" s="20"/>
      <c r="AC40" s="21"/>
      <c r="AD40" s="21"/>
      <c r="AE40" s="20"/>
      <c r="AF40" s="24"/>
      <c r="AG40" s="24"/>
      <c r="AH40" s="20"/>
      <c r="AI40" s="24"/>
      <c r="AJ40" s="24"/>
      <c r="AK40" s="20"/>
      <c r="AL40" s="24"/>
      <c r="AM40" s="24"/>
      <c r="AN40" s="20"/>
      <c r="AO40" s="23"/>
      <c r="AP40" s="23"/>
      <c r="AQ40" s="20"/>
      <c r="AR40" s="23"/>
      <c r="AS40" s="23"/>
      <c r="AT40" s="20"/>
      <c r="AU40" s="23"/>
      <c r="AV40" s="23"/>
      <c r="AW40" s="20"/>
      <c r="AX40" s="25">
        <f t="shared" si="11"/>
        <v>0</v>
      </c>
      <c r="AY40" s="25">
        <f t="shared" si="12"/>
        <v>0</v>
      </c>
    </row>
    <row r="41" ht="15.75" customHeight="1">
      <c r="A41" s="1"/>
      <c r="B41" s="47"/>
      <c r="C41" s="47"/>
      <c r="D41" s="47"/>
      <c r="E41" s="47"/>
      <c r="F41" s="47"/>
      <c r="G41" s="48">
        <f t="shared" ref="G41:H41" si="13">SUM(G6:G40)</f>
        <v>43</v>
      </c>
      <c r="H41" s="48">
        <f t="shared" si="13"/>
        <v>4</v>
      </c>
      <c r="I41" s="48"/>
      <c r="J41" s="48"/>
      <c r="K41" s="48">
        <f>SUM(K6:K40)</f>
        <v>4</v>
      </c>
      <c r="L41" s="48"/>
      <c r="M41" s="48"/>
      <c r="N41" s="48">
        <f>SUM(N6:N40)</f>
        <v>6</v>
      </c>
      <c r="O41" s="48"/>
      <c r="P41" s="48"/>
      <c r="Q41" s="48">
        <f>SUM(Q6:Q40)</f>
        <v>6</v>
      </c>
      <c r="R41" s="48"/>
      <c r="S41" s="48"/>
      <c r="T41" s="48">
        <f>SUM(T6:T40)</f>
        <v>5</v>
      </c>
      <c r="U41" s="48"/>
      <c r="V41" s="48"/>
      <c r="W41" s="48">
        <f>SUM(W6:W40)</f>
        <v>0</v>
      </c>
      <c r="X41" s="48"/>
      <c r="Y41" s="48"/>
      <c r="Z41" s="48">
        <f>SUM(Z6:Z40)</f>
        <v>0</v>
      </c>
      <c r="AA41" s="48"/>
      <c r="AB41" s="48"/>
      <c r="AC41" s="48">
        <f>SUM(AC6:AC40)</f>
        <v>8</v>
      </c>
      <c r="AD41" s="48"/>
      <c r="AE41" s="48"/>
      <c r="AF41" s="48">
        <f>SUM(AF6:AF40)</f>
        <v>4</v>
      </c>
      <c r="AG41" s="48"/>
      <c r="AH41" s="48"/>
      <c r="AI41" s="48">
        <f>SUM(AI6:AI40)</f>
        <v>3.5</v>
      </c>
      <c r="AJ41" s="48"/>
      <c r="AK41" s="48"/>
      <c r="AL41" s="48">
        <f>SUM(AL6:AL40)</f>
        <v>2.5</v>
      </c>
      <c r="AM41" s="48"/>
      <c r="AN41" s="48"/>
      <c r="AO41" s="48">
        <f>SUM(AO6:AO40)</f>
        <v>0</v>
      </c>
      <c r="AP41" s="48"/>
      <c r="AQ41" s="48"/>
      <c r="AR41" s="48">
        <f>SUM(AR6:AR40)</f>
        <v>0</v>
      </c>
      <c r="AS41" s="48"/>
      <c r="AT41" s="48"/>
      <c r="AU41" s="48">
        <f>SUM(AU6:AU40)</f>
        <v>0</v>
      </c>
      <c r="AV41" s="48"/>
      <c r="AW41" s="48"/>
      <c r="AX41" s="25">
        <f t="shared" si="11"/>
        <v>43</v>
      </c>
      <c r="AY41" s="48"/>
    </row>
    <row r="42" ht="15.75" customHeight="1">
      <c r="A42" s="1"/>
      <c r="B42" s="49"/>
      <c r="C42" s="49"/>
      <c r="D42" s="49"/>
      <c r="E42" s="49"/>
      <c r="F42" s="49"/>
      <c r="G42" s="49"/>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row>
    <row r="43" ht="15.75" customHeight="1">
      <c r="A43" s="1"/>
      <c r="B43" s="51"/>
      <c r="C43" s="51"/>
      <c r="D43" s="49"/>
      <c r="E43" s="49"/>
      <c r="F43" s="52"/>
      <c r="G43" s="49"/>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row>
    <row r="44" ht="15.75" customHeight="1">
      <c r="A44" s="49"/>
      <c r="B44" s="53"/>
      <c r="C44" s="54"/>
      <c r="D44" s="50"/>
      <c r="E44" s="49"/>
      <c r="F44" s="49"/>
      <c r="G44" s="49"/>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row>
    <row r="45" ht="15.75" customHeight="1">
      <c r="A45" s="1"/>
      <c r="B45" s="53"/>
      <c r="C45" s="54"/>
      <c r="D45" s="50"/>
      <c r="E45" s="55"/>
      <c r="F45" s="49"/>
      <c r="G45" s="49"/>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row>
    <row r="46" ht="15.75" customHeight="1">
      <c r="A46" s="1"/>
      <c r="B46" s="53"/>
      <c r="C46" s="54"/>
      <c r="D46" s="50"/>
      <c r="E46" s="49"/>
      <c r="F46" s="49"/>
      <c r="G46" s="49"/>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row>
    <row r="47" ht="15.75" customHeight="1">
      <c r="A47" s="1"/>
      <c r="B47" s="53"/>
      <c r="C47" s="56"/>
      <c r="D47" s="50"/>
      <c r="E47" s="49"/>
      <c r="F47" s="49"/>
      <c r="G47" s="49"/>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row>
    <row r="48" ht="15.75" customHeight="1">
      <c r="A48" s="1"/>
      <c r="B48" s="53"/>
      <c r="C48" s="56"/>
      <c r="D48" s="50"/>
      <c r="E48" s="49"/>
      <c r="F48" s="49"/>
      <c r="G48" s="49"/>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row>
    <row r="49" ht="15.75" customHeight="1">
      <c r="A49" s="1"/>
      <c r="B49" s="53"/>
      <c r="C49" s="56"/>
      <c r="D49" s="50"/>
      <c r="E49" s="49"/>
      <c r="F49" s="49"/>
      <c r="G49" s="49"/>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row>
    <row r="50" ht="15.75" customHeight="1">
      <c r="A50" s="1"/>
      <c r="B50" s="53"/>
      <c r="C50" s="56"/>
      <c r="D50" s="50"/>
      <c r="E50" s="49"/>
      <c r="F50" s="49"/>
      <c r="G50" s="49"/>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row>
    <row r="51" ht="15.75" customHeight="1">
      <c r="A51" s="1"/>
      <c r="B51" s="53"/>
      <c r="C51" s="56"/>
      <c r="D51" s="50"/>
      <c r="E51" s="49"/>
      <c r="F51" s="49"/>
      <c r="G51" s="49"/>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row>
    <row r="52" ht="15.75" customHeight="1">
      <c r="A52" s="1"/>
      <c r="B52" s="53"/>
      <c r="C52" s="56"/>
      <c r="D52" s="50"/>
      <c r="E52" s="49"/>
      <c r="F52" s="49"/>
      <c r="G52" s="49"/>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row>
    <row r="53" ht="15.75" customHeight="1">
      <c r="A53" s="1"/>
      <c r="B53" s="53"/>
      <c r="C53" s="56"/>
      <c r="D53" s="50"/>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ht="15.75" customHeight="1">
      <c r="A54" s="1"/>
      <c r="B54" s="53"/>
      <c r="C54" s="56"/>
      <c r="D54" s="50"/>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ht="15.75" customHeight="1">
      <c r="A55" s="1"/>
      <c r="B55" s="53"/>
      <c r="C55" s="56"/>
      <c r="D55" s="50"/>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ht="15.75" customHeight="1">
      <c r="A56" s="1"/>
      <c r="B56" s="53"/>
      <c r="C56" s="56"/>
      <c r="D56" s="50"/>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ht="15.75" customHeight="1">
      <c r="A57" s="1"/>
      <c r="B57" s="53"/>
      <c r="C57" s="56"/>
      <c r="D57" s="50"/>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ht="15.75" customHeight="1">
      <c r="A58" s="1"/>
      <c r="B58" s="53"/>
      <c r="C58" s="56"/>
      <c r="D58" s="50"/>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ht="15.75" customHeight="1">
      <c r="A59" s="1"/>
      <c r="B59" s="1"/>
      <c r="C59" s="57"/>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ht="15.75" customHeight="1">
      <c r="A60" s="1"/>
      <c r="B60" s="51"/>
      <c r="C60" s="5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ht="15.75" customHeight="1">
      <c r="A61" s="1"/>
      <c r="B61" s="53"/>
      <c r="C61" s="54"/>
      <c r="D61" s="58"/>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ht="15.75" customHeight="1">
      <c r="A62" s="1"/>
      <c r="B62" s="53"/>
      <c r="C62" s="54"/>
      <c r="D62" s="59"/>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ht="15.75" customHeight="1">
      <c r="A63" s="1"/>
      <c r="B63" s="53"/>
      <c r="C63" s="54"/>
      <c r="D63" s="59"/>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ht="15.75" customHeight="1">
      <c r="A64" s="1"/>
      <c r="B64" s="53"/>
      <c r="C64" s="56"/>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ht="15.75" customHeight="1">
      <c r="A65" s="1"/>
      <c r="B65" s="53"/>
      <c r="C65" s="56"/>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ht="15.75" customHeight="1">
      <c r="A66" s="1"/>
      <c r="B66" s="53"/>
      <c r="C66" s="56"/>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ht="15.75" customHeight="1">
      <c r="A67" s="1"/>
      <c r="B67" s="53"/>
      <c r="C67" s="56"/>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ht="15.75" customHeight="1">
      <c r="A68" s="1"/>
      <c r="B68" s="53"/>
      <c r="C68" s="56"/>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ht="15.75" customHeight="1">
      <c r="A69" s="1"/>
      <c r="B69" s="53"/>
      <c r="C69" s="56"/>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ht="15.75" customHeight="1">
      <c r="A70" s="1"/>
      <c r="B70" s="53"/>
      <c r="C70" s="56"/>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ht="15.75" customHeight="1">
      <c r="A71" s="1"/>
      <c r="B71" s="53"/>
      <c r="C71" s="56"/>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ht="15.75" customHeight="1">
      <c r="A72" s="1"/>
      <c r="B72" s="53"/>
      <c r="C72" s="56"/>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ht="15.75" customHeight="1">
      <c r="A73" s="1"/>
      <c r="B73" s="53"/>
      <c r="C73" s="56"/>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ht="15.75" customHeight="1">
      <c r="A74" s="1"/>
      <c r="B74" s="53"/>
      <c r="C74" s="56"/>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ht="15.75" customHeight="1">
      <c r="A75" s="1"/>
      <c r="B75" s="53"/>
      <c r="C75" s="56"/>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row>
  </sheetData>
  <mergeCells count="15">
    <mergeCell ref="AC4:AD4"/>
    <mergeCell ref="AF4:AG4"/>
    <mergeCell ref="AI4:AJ4"/>
    <mergeCell ref="AL4:AM4"/>
    <mergeCell ref="AO4:AP4"/>
    <mergeCell ref="AR4:AS4"/>
    <mergeCell ref="AU4:AV4"/>
    <mergeCell ref="AX4:AY4"/>
    <mergeCell ref="H4:I4"/>
    <mergeCell ref="K4:L4"/>
    <mergeCell ref="N4:O4"/>
    <mergeCell ref="Q4:R4"/>
    <mergeCell ref="T4:U4"/>
    <mergeCell ref="W4:X4"/>
    <mergeCell ref="Z4:AA4"/>
  </mergeCells>
  <dataValidations>
    <dataValidation type="list" allowBlank="1" showErrorMessage="1" sqref="F39:F40">
      <formula1>"0. Planificada,1. En proceso,2. Hecho,3. Descartada"</formula1>
    </dataValidation>
    <dataValidation type="list" allowBlank="1" showErrorMessage="1" sqref="F6:F11 F13:F18 F20:F24 F26:F32 F34 F36:F38">
      <formula1>"0. Planificada,1. En proceso,2. Hecho,3. Descartada"</formula1>
    </dataValidation>
  </dataValidations>
  <printOptions/>
  <pageMargins bottom="0.7480314960629921" footer="0.0" header="0.0" left="0.6299212598425197" right="0.6299212598425197" top="0.7480314960629921"/>
  <pageSetup orientation="landscape"/>
  <colBreaks count="4" manualBreakCount="4">
    <brk id="49" man="1"/>
    <brk id="51" man="1"/>
    <brk id="36"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3</v>
      </c>
      <c r="C4" s="5" t="s">
        <v>4</v>
      </c>
      <c r="D4" s="1"/>
      <c r="E4" s="1"/>
      <c r="F4" s="1"/>
      <c r="G4" s="1"/>
      <c r="H4" s="1"/>
      <c r="I4" s="1"/>
      <c r="J4" s="1"/>
      <c r="K4" s="1"/>
      <c r="L4" s="1"/>
      <c r="M4" s="1"/>
      <c r="N4" s="1"/>
      <c r="O4" s="1"/>
      <c r="P4" s="1"/>
      <c r="Q4" s="1"/>
      <c r="R4" s="1"/>
      <c r="S4" s="1"/>
      <c r="T4" s="1"/>
      <c r="U4" s="1"/>
      <c r="V4" s="1"/>
      <c r="W4" s="1"/>
      <c r="X4" s="1"/>
      <c r="Y4" s="1"/>
      <c r="Z4" s="1"/>
    </row>
    <row r="5">
      <c r="A5" s="1"/>
      <c r="B5" s="3" t="str">
        <f>'Sprint 2'!B5</f>
        <v>Identificador (ID) de item de product backlog</v>
      </c>
      <c r="C5" s="3" t="s">
        <v>18</v>
      </c>
      <c r="D5" s="1"/>
      <c r="E5" s="1"/>
      <c r="F5" s="1"/>
      <c r="G5" s="1"/>
      <c r="H5" s="1"/>
      <c r="I5" s="1"/>
      <c r="J5" s="1"/>
      <c r="K5" s="1"/>
      <c r="L5" s="1"/>
      <c r="M5" s="1"/>
      <c r="N5" s="1"/>
      <c r="O5" s="1"/>
      <c r="P5" s="1"/>
      <c r="Q5" s="1"/>
      <c r="R5" s="1"/>
      <c r="S5" s="1"/>
      <c r="T5" s="1"/>
      <c r="U5" s="1"/>
      <c r="V5" s="1"/>
      <c r="W5" s="1"/>
      <c r="X5" s="1"/>
      <c r="Y5" s="1"/>
      <c r="Z5" s="1"/>
    </row>
    <row r="6">
      <c r="A6" s="1"/>
      <c r="B6" s="3" t="str">
        <f>'Sprint 2'!C5</f>
        <v>Enunciado del item de Product Backlog</v>
      </c>
      <c r="C6" s="3" t="s">
        <v>27</v>
      </c>
      <c r="D6" s="1"/>
      <c r="E6" s="1"/>
      <c r="F6" s="1"/>
      <c r="G6" s="1"/>
      <c r="H6" s="1"/>
      <c r="I6" s="1"/>
      <c r="J6" s="1"/>
      <c r="K6" s="1"/>
      <c r="L6" s="1"/>
      <c r="M6" s="1"/>
      <c r="N6" s="1"/>
      <c r="O6" s="1"/>
      <c r="P6" s="1"/>
      <c r="Q6" s="1"/>
      <c r="R6" s="1"/>
      <c r="S6" s="1"/>
      <c r="T6" s="1"/>
      <c r="U6" s="1"/>
      <c r="V6" s="1"/>
      <c r="W6" s="1"/>
      <c r="X6" s="1"/>
      <c r="Y6" s="1"/>
      <c r="Z6" s="1"/>
    </row>
    <row r="7">
      <c r="A7" s="1"/>
      <c r="B7" s="3" t="s">
        <v>23</v>
      </c>
      <c r="C7" s="3" t="s">
        <v>30</v>
      </c>
      <c r="D7" s="1"/>
      <c r="E7" s="1"/>
      <c r="F7" s="1"/>
      <c r="G7" s="1"/>
      <c r="H7" s="1"/>
      <c r="I7" s="1"/>
      <c r="J7" s="1"/>
      <c r="K7" s="1"/>
      <c r="L7" s="1"/>
      <c r="M7" s="1"/>
      <c r="N7" s="1"/>
      <c r="O7" s="1"/>
      <c r="P7" s="1"/>
      <c r="Q7" s="1"/>
      <c r="R7" s="1"/>
      <c r="S7" s="1"/>
      <c r="T7" s="1"/>
      <c r="U7" s="1"/>
      <c r="V7" s="1"/>
      <c r="W7" s="1"/>
      <c r="X7" s="1"/>
      <c r="Y7" s="1"/>
      <c r="Z7" s="1"/>
    </row>
    <row r="8">
      <c r="A8" s="1"/>
      <c r="B8" s="3" t="s">
        <v>24</v>
      </c>
      <c r="C8" s="3" t="s">
        <v>32</v>
      </c>
      <c r="D8" s="1"/>
      <c r="E8" s="1"/>
      <c r="F8" s="1"/>
      <c r="G8" s="1"/>
      <c r="H8" s="1"/>
      <c r="I8" s="1"/>
      <c r="J8" s="1"/>
      <c r="K8" s="1"/>
      <c r="L8" s="1"/>
      <c r="M8" s="1"/>
      <c r="N8" s="1"/>
      <c r="O8" s="1"/>
      <c r="P8" s="1"/>
      <c r="Q8" s="1"/>
      <c r="R8" s="1"/>
      <c r="S8" s="1"/>
      <c r="T8" s="1"/>
      <c r="U8" s="1"/>
      <c r="V8" s="1"/>
      <c r="W8" s="1"/>
      <c r="X8" s="1"/>
      <c r="Y8" s="1"/>
      <c r="Z8" s="1"/>
    </row>
    <row r="9">
      <c r="A9" s="1"/>
      <c r="B9" s="3" t="s">
        <v>25</v>
      </c>
      <c r="C9" s="3" t="s">
        <v>37</v>
      </c>
      <c r="D9" s="1"/>
      <c r="E9" s="1"/>
      <c r="F9" s="1"/>
      <c r="G9" s="1"/>
      <c r="H9" s="1"/>
      <c r="I9" s="1"/>
      <c r="J9" s="1"/>
      <c r="K9" s="1"/>
      <c r="L9" s="1"/>
      <c r="M9" s="1"/>
      <c r="N9" s="1"/>
      <c r="O9" s="1"/>
      <c r="P9" s="1"/>
      <c r="Q9" s="1"/>
      <c r="R9" s="1"/>
      <c r="S9" s="1"/>
      <c r="T9" s="1"/>
      <c r="U9" s="1"/>
      <c r="V9" s="1"/>
      <c r="W9" s="1"/>
      <c r="X9" s="1"/>
      <c r="Y9" s="1"/>
      <c r="Z9" s="1"/>
    </row>
    <row r="10">
      <c r="A10" s="1"/>
      <c r="B10" s="3" t="s">
        <v>26</v>
      </c>
      <c r="C10" s="3" t="s">
        <v>38</v>
      </c>
      <c r="D10" s="1"/>
      <c r="E10" s="1"/>
      <c r="F10" s="1"/>
      <c r="G10" s="1"/>
      <c r="H10" s="1"/>
      <c r="I10" s="1"/>
      <c r="J10" s="1"/>
      <c r="K10" s="1"/>
      <c r="L10" s="1"/>
      <c r="M10" s="1"/>
      <c r="N10" s="1"/>
      <c r="O10" s="1"/>
      <c r="P10" s="1"/>
      <c r="Q10" s="1"/>
      <c r="R10" s="1"/>
      <c r="S10" s="1"/>
      <c r="T10" s="1"/>
      <c r="U10" s="1"/>
      <c r="V10" s="1"/>
      <c r="W10" s="1"/>
      <c r="X10" s="1"/>
      <c r="Y10" s="1"/>
      <c r="Z10" s="1"/>
    </row>
    <row r="11">
      <c r="A11" s="1"/>
      <c r="B11" s="3" t="s">
        <v>39</v>
      </c>
      <c r="C11" s="3" t="s">
        <v>40</v>
      </c>
      <c r="D11" s="1"/>
      <c r="E11" s="1"/>
      <c r="F11" s="1"/>
      <c r="G11" s="1"/>
      <c r="H11" s="1"/>
      <c r="I11" s="1"/>
      <c r="J11" s="1"/>
      <c r="K11" s="1"/>
      <c r="L11" s="1"/>
      <c r="M11" s="1"/>
      <c r="N11" s="1"/>
      <c r="O11" s="1"/>
      <c r="P11" s="1"/>
      <c r="Q11" s="1"/>
      <c r="R11" s="1"/>
      <c r="S11" s="1"/>
      <c r="T11" s="1"/>
      <c r="U11" s="1"/>
      <c r="V11" s="1"/>
      <c r="W11" s="1"/>
      <c r="X11" s="1"/>
      <c r="Y11" s="1"/>
      <c r="Z11" s="1"/>
    </row>
    <row r="12">
      <c r="A12" s="1"/>
      <c r="B12" s="3" t="s">
        <v>28</v>
      </c>
      <c r="C12" s="3" t="s">
        <v>41</v>
      </c>
      <c r="D12" s="1"/>
      <c r="E12" s="1"/>
      <c r="F12" s="1"/>
      <c r="G12" s="1"/>
      <c r="H12" s="1"/>
      <c r="I12" s="1"/>
      <c r="J12" s="1"/>
      <c r="K12" s="1"/>
      <c r="L12" s="1"/>
      <c r="M12" s="1"/>
      <c r="N12" s="1"/>
      <c r="O12" s="1"/>
      <c r="P12" s="1"/>
      <c r="Q12" s="1"/>
      <c r="R12" s="1"/>
      <c r="S12" s="1"/>
      <c r="T12" s="1"/>
      <c r="U12" s="1"/>
      <c r="V12" s="1"/>
      <c r="W12" s="1"/>
      <c r="X12" s="1"/>
      <c r="Y12" s="1"/>
      <c r="Z12" s="1"/>
    </row>
    <row r="13">
      <c r="A13" s="1"/>
      <c r="B13" s="3" t="s">
        <v>29</v>
      </c>
      <c r="C13" s="3" t="s">
        <v>42</v>
      </c>
      <c r="D13" s="1"/>
      <c r="E13" s="1"/>
      <c r="F13" s="1"/>
      <c r="G13" s="1"/>
      <c r="H13" s="1"/>
      <c r="I13" s="1"/>
      <c r="J13" s="1"/>
      <c r="K13" s="1"/>
      <c r="L13" s="1"/>
      <c r="M13" s="1"/>
      <c r="N13" s="1"/>
      <c r="O13" s="1"/>
      <c r="P13" s="1"/>
      <c r="Q13" s="1"/>
      <c r="R13" s="1"/>
      <c r="S13" s="1"/>
      <c r="T13" s="1"/>
      <c r="U13" s="1"/>
      <c r="V13" s="1"/>
      <c r="W13" s="1"/>
      <c r="X13" s="1"/>
      <c r="Y13" s="1"/>
      <c r="Z13" s="1"/>
    </row>
    <row r="14">
      <c r="A14" s="1"/>
      <c r="B14" s="3" t="s">
        <v>20</v>
      </c>
      <c r="C14" s="3" t="s">
        <v>43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